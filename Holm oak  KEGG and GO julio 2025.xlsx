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vami\Desktop\2025 Julio_Encina\"/>
    </mc:Choice>
  </mc:AlternateContent>
  <xr:revisionPtr revIDLastSave="0" documentId="8_{94980C06-B46C-46BC-9113-B9CEB9266A3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OG table %" sheetId="2" r:id="rId1"/>
    <sheet name="COG pie" sheetId="3" r:id="rId2"/>
    <sheet name=" KEGG MeJA vs C" sheetId="4" r:id="rId3"/>
    <sheet name="KEGG Pc vs C" sheetId="5" r:id="rId4"/>
    <sheet name="KEGG MeJA +Pc vs C" sheetId="6" r:id="rId5"/>
    <sheet name="Venn Diagram 2x2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2" l="1"/>
  <c r="L33" i="2"/>
  <c r="K33" i="2"/>
  <c r="J33" i="2"/>
  <c r="D33" i="2"/>
  <c r="E33" i="2"/>
  <c r="F33" i="2"/>
  <c r="G33" i="2"/>
  <c r="H33" i="2"/>
  <c r="I33" i="2"/>
  <c r="B33" i="2"/>
  <c r="C33" i="2"/>
</calcChain>
</file>

<file path=xl/sharedStrings.xml><?xml version="1.0" encoding="utf-8"?>
<sst xmlns="http://schemas.openxmlformats.org/spreadsheetml/2006/main" count="223" uniqueCount="96">
  <si>
    <t>U</t>
  </si>
  <si>
    <t>UP</t>
  </si>
  <si>
    <t>DOWN</t>
  </si>
  <si>
    <t>MeJA vs C</t>
  </si>
  <si>
    <t>Pc vs C</t>
  </si>
  <si>
    <t>MeJA + Pc vs C</t>
  </si>
  <si>
    <t>Information Storage and Processing</t>
  </si>
  <si>
    <t>Cellular Processses and Signalling</t>
  </si>
  <si>
    <t>Metabolism</t>
  </si>
  <si>
    <t>Poorly Characterized</t>
  </si>
  <si>
    <t>· Translation, ribosomal structure and biogenesis [J]</t>
  </si>
  <si>
    <t xml:space="preserve">· RNA processing and modification [A] </t>
  </si>
  <si>
    <t xml:space="preserve">· Replication, recombination and repair [L] </t>
  </si>
  <si>
    <t xml:space="preserve">· Transcription [K] </t>
  </si>
  <si>
    <t xml:space="preserve">· Chromatin structure and dynamics [B] </t>
  </si>
  <si>
    <t xml:space="preserve">· Posttranslational modification, protein turnover, chaperones [O] </t>
  </si>
  <si>
    <t xml:space="preserve">· Intracellular trafficking, secretion, and vesicular transport [U] </t>
  </si>
  <si>
    <t xml:space="preserve">· Signal transduction mechanisms [T] </t>
  </si>
  <si>
    <t xml:space="preserve">· Cytoskeleton [Z] </t>
  </si>
  <si>
    <t xml:space="preserve">· Cell wall/membrane/envelope biogenesis [M] </t>
  </si>
  <si>
    <t xml:space="preserve">· Nuclear structure [Y] </t>
  </si>
  <si>
    <t xml:space="preserve">· Extracellular structures [W] </t>
  </si>
  <si>
    <t xml:space="preserve">· Defense mechanisms [V] </t>
  </si>
  <si>
    <t xml:space="preserve">· Cell Motility [N] </t>
  </si>
  <si>
    <t xml:space="preserve">· Cell cycle control, cell division, chromosome partitioning [D] </t>
  </si>
  <si>
    <t xml:space="preserve">· Secondary metabolites biosynthesis, transport and catabolism [Q] </t>
  </si>
  <si>
    <t xml:space="preserve">· Carbohydrate transport and metabolism [G] </t>
  </si>
  <si>
    <t xml:space="preserve">· Amino acid transport and metabolism [E] </t>
  </si>
  <si>
    <t xml:space="preserve">· Energy production and conversion [C] </t>
  </si>
  <si>
    <t xml:space="preserve">· Coenzyme transport and metabolism [H] </t>
  </si>
  <si>
    <t xml:space="preserve">· Lipid transport and metabolism [I] </t>
  </si>
  <si>
    <t xml:space="preserve">· Nucleotide transport and metabolism [F] </t>
  </si>
  <si>
    <t xml:space="preserve">· Inorganic ion transport and metabolism [P] </t>
  </si>
  <si>
    <t xml:space="preserve">· Function unknown [S] </t>
  </si>
  <si>
    <t xml:space="preserve">· General function prediction only [R] </t>
  </si>
  <si>
    <t xml:space="preserve">· Mobilome: prophages, transposons [X] </t>
  </si>
  <si>
    <t>K</t>
  </si>
  <si>
    <t>L</t>
  </si>
  <si>
    <t>%</t>
  </si>
  <si>
    <t>M</t>
  </si>
  <si>
    <t>8.33</t>
  </si>
  <si>
    <t>J</t>
  </si>
  <si>
    <t>A</t>
  </si>
  <si>
    <t>B</t>
  </si>
  <si>
    <t>O</t>
  </si>
  <si>
    <t>T</t>
  </si>
  <si>
    <t>Z</t>
  </si>
  <si>
    <t>Y</t>
  </si>
  <si>
    <t>W</t>
  </si>
  <si>
    <t>V</t>
  </si>
  <si>
    <t>D</t>
  </si>
  <si>
    <t>Q</t>
  </si>
  <si>
    <t>G</t>
  </si>
  <si>
    <t>E</t>
  </si>
  <si>
    <t>C</t>
  </si>
  <si>
    <t>H</t>
  </si>
  <si>
    <t>I</t>
  </si>
  <si>
    <t>F</t>
  </si>
  <si>
    <t>P</t>
  </si>
  <si>
    <t>S</t>
  </si>
  <si>
    <t>R</t>
  </si>
  <si>
    <t>Purine metabolism</t>
  </si>
  <si>
    <t>Thiamine metabolism</t>
  </si>
  <si>
    <t>Glycolysis / Gluconeogenesis</t>
  </si>
  <si>
    <t>Glutathione metabolism</t>
  </si>
  <si>
    <t>Starch and sucrose metabolism</t>
  </si>
  <si>
    <t>Carbon fixation pathways in prokaryotes</t>
  </si>
  <si>
    <t>Citrate cycle (TCA cycle)</t>
  </si>
  <si>
    <t>Galactose metabolism</t>
  </si>
  <si>
    <t>Amino sugar and nucleotide sugar metabolism</t>
  </si>
  <si>
    <t>Methane metabolism</t>
  </si>
  <si>
    <t>Carbon fixation in photosynthetic organisms</t>
  </si>
  <si>
    <t>Pentose phosphate pathway</t>
  </si>
  <si>
    <t>Cysteine and methionine metabolism</t>
  </si>
  <si>
    <t>Phenylalanine, tyrosine and tryptophan biosynthesis</t>
  </si>
  <si>
    <t>Glyoxylate and dicarboxylate metabolism</t>
  </si>
  <si>
    <t>Folate biosynthesis</t>
  </si>
  <si>
    <t>Fructose and mannose metabolism</t>
  </si>
  <si>
    <t>Phenylpropanoid biosynthesis</t>
  </si>
  <si>
    <t>Enzimes</t>
  </si>
  <si>
    <t>Sequences</t>
  </si>
  <si>
    <t>Pathways</t>
  </si>
  <si>
    <t>Fatty acid degradation</t>
  </si>
  <si>
    <t>alpha-Linolenic acid metabolism</t>
  </si>
  <si>
    <t>Tyrosine metabolism</t>
  </si>
  <si>
    <t>Alanine, aspartate and glutamate metabolism</t>
  </si>
  <si>
    <t>Valine, leucine and isoleucine degradation</t>
  </si>
  <si>
    <t>Drug metabolism - cytochrome P450</t>
  </si>
  <si>
    <t>Metabolism of xenobiotics by cytochrome P450</t>
  </si>
  <si>
    <t>Chloroalkane and chloroalkene degradation</t>
  </si>
  <si>
    <t>Other glycan degradation</t>
  </si>
  <si>
    <t>Arginine and proline metabolism</t>
  </si>
  <si>
    <t>Tryptophan metabolism</t>
  </si>
  <si>
    <t>Pyruvate metabolism</t>
  </si>
  <si>
    <t>Glycine, serine and threonine metabolism</t>
  </si>
  <si>
    <t>Cellular Processes and Signalling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</si>
</sst>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7C8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justify" vertical="center"/>
    </xf>
    <xf numFmtId="0" fontId="1" fillId="0" borderId="0" xfId="0" applyFont="1"/>
    <xf numFmtId="0" fontId="0" fillId="0" borderId="0" xfId="0" applyBorder="1"/>
    <xf numFmtId="0" fontId="0" fillId="0" borderId="6" xfId="0" applyBorder="1"/>
    <xf numFmtId="0" fontId="2" fillId="0" borderId="5" xfId="0" applyFont="1" applyBorder="1" applyAlignment="1">
      <alignment horizontal="justify" vertical="center"/>
    </xf>
    <xf numFmtId="0" fontId="2" fillId="0" borderId="7" xfId="0" applyFont="1" applyBorder="1" applyAlignment="1">
      <alignment horizontal="justify" vertical="center"/>
    </xf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2" borderId="10" xfId="0" applyFont="1" applyFill="1" applyBorder="1" applyAlignment="1">
      <alignment horizontal="center" wrapText="1"/>
    </xf>
    <xf numFmtId="0" fontId="0" fillId="4" borderId="11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6" borderId="11" xfId="0" applyFont="1" applyFill="1" applyBorder="1" applyAlignment="1">
      <alignment horizontal="center"/>
    </xf>
    <xf numFmtId="0" fontId="0" fillId="6" borderId="12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1" fillId="7" borderId="0" xfId="0" applyFont="1" applyFill="1"/>
    <xf numFmtId="0" fontId="1" fillId="7" borderId="5" xfId="0" applyFont="1" applyFill="1" applyBorder="1" applyAlignment="1">
      <alignment wrapText="1"/>
    </xf>
    <xf numFmtId="0" fontId="1" fillId="7" borderId="6" xfId="0" applyFont="1" applyFill="1" applyBorder="1"/>
    <xf numFmtId="0" fontId="1" fillId="7" borderId="0" xfId="0" applyFont="1" applyFill="1" applyBorder="1"/>
    <xf numFmtId="0" fontId="1" fillId="7" borderId="5" xfId="0" applyFont="1" applyFill="1" applyBorder="1"/>
    <xf numFmtId="0" fontId="0" fillId="0" borderId="0" xfId="0" applyAlignment="1"/>
    <xf numFmtId="0" fontId="0" fillId="8" borderId="12" xfId="0" applyFont="1" applyFill="1" applyBorder="1" applyAlignment="1">
      <alignment horizontal="center"/>
    </xf>
    <xf numFmtId="0" fontId="0" fillId="9" borderId="10" xfId="0" applyFont="1" applyFill="1" applyBorder="1" applyAlignment="1">
      <alignment horizontal="center"/>
    </xf>
    <xf numFmtId="0" fontId="0" fillId="9" borderId="12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10" borderId="11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0" fillId="0" borderId="6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9" xfId="0" applyBorder="1" applyAlignment="1"/>
    <xf numFmtId="0" fontId="0" fillId="0" borderId="0" xfId="0" applyFont="1" applyAlignment="1"/>
    <xf numFmtId="0" fontId="1" fillId="0" borderId="0" xfId="0" applyFont="1" applyFill="1"/>
    <xf numFmtId="0" fontId="2" fillId="2" borderId="3" xfId="0" applyFont="1" applyFill="1" applyBorder="1" applyAlignment="1">
      <alignment horizontal="justify" vertical="center" wrapText="1"/>
    </xf>
    <xf numFmtId="0" fontId="0" fillId="0" borderId="4" xfId="0" applyBorder="1" applyAlignment="1"/>
    <xf numFmtId="0" fontId="2" fillId="2" borderId="0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justify" vertical="center" wrapText="1"/>
    </xf>
    <xf numFmtId="0" fontId="2" fillId="5" borderId="3" xfId="0" applyFont="1" applyFill="1" applyBorder="1" applyAlignment="1">
      <alignment horizontal="justify" vertical="center" wrapText="1"/>
    </xf>
    <xf numFmtId="0" fontId="2" fillId="5" borderId="0" xfId="0" applyFont="1" applyFill="1" applyBorder="1" applyAlignment="1">
      <alignment horizontal="justify" vertical="center" wrapText="1"/>
    </xf>
    <xf numFmtId="0" fontId="2" fillId="5" borderId="8" xfId="0" applyFont="1" applyFill="1" applyBorder="1" applyAlignment="1">
      <alignment horizontal="justify" vertical="center" wrapText="1"/>
    </xf>
    <xf numFmtId="0" fontId="2" fillId="7" borderId="3" xfId="0" applyFont="1" applyFill="1" applyBorder="1" applyAlignment="1">
      <alignment horizontal="justify" vertical="center" wrapText="1"/>
    </xf>
    <xf numFmtId="0" fontId="2" fillId="7" borderId="8" xfId="0" applyFont="1" applyFill="1" applyBorder="1" applyAlignment="1">
      <alignment horizontal="justify" vertical="center" wrapText="1"/>
    </xf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15" xfId="0" applyFill="1" applyBorder="1" applyAlignment="1"/>
    <xf numFmtId="0" fontId="0" fillId="5" borderId="13" xfId="0" applyFill="1" applyBorder="1" applyAlignment="1"/>
    <xf numFmtId="0" fontId="0" fillId="5" borderId="14" xfId="0" applyFill="1" applyBorder="1" applyAlignment="1"/>
    <xf numFmtId="0" fontId="0" fillId="5" borderId="15" xfId="0" applyFill="1" applyBorder="1" applyAlignment="1"/>
    <xf numFmtId="0" fontId="0" fillId="4" borderId="13" xfId="0" applyFill="1" applyBorder="1" applyAlignment="1"/>
    <xf numFmtId="0" fontId="0" fillId="4" borderId="14" xfId="0" applyFill="1" applyBorder="1" applyAlignment="1"/>
    <xf numFmtId="0" fontId="0" fillId="4" borderId="15" xfId="0" applyFill="1" applyBorder="1" applyAlignment="1"/>
    <xf numFmtId="0" fontId="0" fillId="7" borderId="13" xfId="0" applyFill="1" applyBorder="1" applyAlignment="1"/>
    <xf numFmtId="0" fontId="0" fillId="7" borderId="15" xfId="0" applyFill="1" applyBorder="1" applyAlignment="1"/>
    <xf numFmtId="0" fontId="0" fillId="2" borderId="1" xfId="0" applyFont="1" applyFill="1" applyBorder="1" applyAlignment="1">
      <alignment horizontal="center"/>
    </xf>
    <xf numFmtId="0" fontId="0" fillId="0" borderId="16" xfId="0" applyBorder="1"/>
    <xf numFmtId="0" fontId="4" fillId="0" borderId="16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right" vertical="center"/>
    </xf>
    <xf numFmtId="0" fontId="0" fillId="0" borderId="16" xfId="0" applyBorder="1" applyAlignment="1"/>
    <xf numFmtId="0" fontId="0" fillId="0" borderId="16" xfId="0" applyBorder="1" applyAlignment="1">
      <alignment horizontal="center" vertical="center"/>
    </xf>
    <xf numFmtId="0" fontId="5" fillId="0" borderId="16" xfId="0" applyFont="1" applyBorder="1"/>
    <xf numFmtId="0" fontId="4" fillId="0" borderId="0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justify" vertical="center" wrapText="1"/>
    </xf>
    <xf numFmtId="0" fontId="2" fillId="11" borderId="0" xfId="0" applyFont="1" applyFill="1" applyBorder="1" applyAlignment="1">
      <alignment horizontal="justify" vertical="center" wrapText="1"/>
    </xf>
    <xf numFmtId="0" fontId="2" fillId="11" borderId="8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7" borderId="1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/>
    </xf>
    <xf numFmtId="0" fontId="0" fillId="5" borderId="12" xfId="0" applyFont="1" applyFill="1" applyBorder="1" applyAlignment="1">
      <alignment horizontal="center"/>
    </xf>
    <xf numFmtId="0" fontId="0" fillId="6" borderId="10" xfId="0" applyFont="1" applyFill="1" applyBorder="1" applyAlignment="1">
      <alignment horizontal="center"/>
    </xf>
    <xf numFmtId="0" fontId="0" fillId="6" borderId="12" xfId="0" applyFont="1" applyFill="1" applyBorder="1" applyAlignment="1">
      <alignment horizontal="center"/>
    </xf>
    <xf numFmtId="0" fontId="0" fillId="9" borderId="10" xfId="0" applyFont="1" applyFill="1" applyBorder="1" applyAlignment="1">
      <alignment horizontal="center"/>
    </xf>
    <xf numFmtId="0" fontId="0" fillId="9" borderId="12" xfId="0" applyFont="1" applyFill="1" applyBorder="1" applyAlignment="1">
      <alignment horizontal="center"/>
    </xf>
    <xf numFmtId="0" fontId="0" fillId="10" borderId="10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9933"/>
      <color rgb="FFFFCCCC"/>
      <color rgb="FFFF5050"/>
      <color rgb="FF6699FF"/>
      <color rgb="FF0033CC"/>
      <color rgb="FFFF99CC"/>
      <color rgb="FF6666FF"/>
      <color rgb="FF99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MeJA vs C - UP</a:t>
            </a:r>
          </a:p>
        </c:rich>
      </c:tx>
      <c:layout>
        <c:manualLayout>
          <c:xMode val="edge"/>
          <c:yMode val="edge"/>
          <c:x val="0.72959832115289169"/>
          <c:y val="3.284321188585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'COG pie'!$D$2</c:f>
              <c:strCache>
                <c:ptCount val="1"/>
                <c:pt idx="0">
                  <c:v>UP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33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BC-4916-987B-738E04CC1267}"/>
              </c:ext>
            </c:extLst>
          </c:dPt>
          <c:dPt>
            <c:idx val="1"/>
            <c:bubble3D val="0"/>
            <c:spPr>
              <a:solidFill>
                <a:srgbClr val="6699FF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BC-4916-987B-738E04CC1267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BC-4916-987B-738E04CC126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BC-4916-987B-738E04CC1267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BC-4916-987B-738E04CC12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BC-4916-987B-738E04CC1267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BC-4916-987B-738E04CC1267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8BC-4916-987B-738E04CC1267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8BC-4916-987B-738E04CC1267}"/>
              </c:ext>
            </c:extLst>
          </c:dPt>
          <c:dPt>
            <c:idx val="9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8BC-4916-987B-738E04CC1267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8BC-4916-987B-738E04CC1267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8BC-4916-987B-738E04CC1267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8BC-4916-987B-738E04CC1267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8BC-4916-987B-738E04CC1267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8BC-4916-987B-738E04CC1267}"/>
              </c:ext>
            </c:extLst>
          </c:dPt>
          <c:dPt>
            <c:idx val="15"/>
            <c:bubble3D val="0"/>
            <c:spPr>
              <a:solidFill>
                <a:srgbClr val="FF5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8BC-4916-987B-738E04CC1267}"/>
              </c:ext>
            </c:extLst>
          </c:dPt>
          <c:dPt>
            <c:idx val="16"/>
            <c:bubble3D val="0"/>
            <c:spPr>
              <a:solidFill>
                <a:srgbClr val="FF7C8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8BC-4916-987B-738E04CC1267}"/>
              </c:ext>
            </c:extLst>
          </c:dPt>
          <c:dPt>
            <c:idx val="17"/>
            <c:bubble3D val="0"/>
            <c:spPr>
              <a:solidFill>
                <a:srgbClr val="FFCC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8BC-4916-987B-738E04CC1267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8BC-4916-987B-738E04CC1267}"/>
              </c:ext>
            </c:extLst>
          </c:dPt>
          <c:dPt>
            <c:idx val="19"/>
            <c:bubble3D val="0"/>
            <c:spPr>
              <a:solidFill>
                <a:srgbClr val="FF993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8BC-4916-987B-738E04CC1267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8BC-4916-987B-738E04CC1267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8BC-4916-987B-738E04CC1267}"/>
              </c:ext>
            </c:extLst>
          </c:dPt>
          <c:dPt>
            <c:idx val="22"/>
            <c:bubble3D val="0"/>
            <c:spPr>
              <a:solidFill>
                <a:schemeClr val="accent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8BC-4916-987B-738E04CC1267}"/>
              </c:ext>
            </c:extLst>
          </c:dPt>
          <c:dPt>
            <c:idx val="23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8BC-4916-987B-738E04CC1267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8BC-4916-987B-738E04CC1267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pie'!$D$3:$D$27</c:f>
              <c:numCache>
                <c:formatCode>General</c:formatCode>
                <c:ptCount val="25"/>
                <c:pt idx="0">
                  <c:v>27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39</c:v>
                </c:pt>
                <c:pt idx="6">
                  <c:v>23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24</c:v>
                </c:pt>
                <c:pt idx="16">
                  <c:v>22</c:v>
                </c:pt>
                <c:pt idx="17">
                  <c:v>15</c:v>
                </c:pt>
                <c:pt idx="18">
                  <c:v>14</c:v>
                </c:pt>
                <c:pt idx="19">
                  <c:v>7</c:v>
                </c:pt>
                <c:pt idx="20">
                  <c:v>6</c:v>
                </c:pt>
                <c:pt idx="21">
                  <c:v>3</c:v>
                </c:pt>
                <c:pt idx="22">
                  <c:v>2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28BC-4916-987B-738E04CC1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7291442844702E-3"/>
          <c:y val="1.4915370546325052E-2"/>
          <c:w val="0.15585392849094382"/>
          <c:h val="0.97602534032967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Pc vs C - UP</a:t>
            </a:r>
          </a:p>
        </c:rich>
      </c:tx>
      <c:layout>
        <c:manualLayout>
          <c:xMode val="edge"/>
          <c:yMode val="edge"/>
          <c:x val="0.72959832115289169"/>
          <c:y val="3.284321188585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'COG pie'!$F$2</c:f>
              <c:strCache>
                <c:ptCount val="1"/>
                <c:pt idx="0">
                  <c:v>UP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33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06-484B-8C94-0EE17835869B}"/>
              </c:ext>
            </c:extLst>
          </c:dPt>
          <c:dPt>
            <c:idx val="1"/>
            <c:bubble3D val="0"/>
            <c:spPr>
              <a:solidFill>
                <a:srgbClr val="6699FF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06-484B-8C94-0EE17835869B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06-484B-8C94-0EE17835869B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06-484B-8C94-0EE17835869B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06-484B-8C94-0EE1783586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06-484B-8C94-0EE17835869B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F06-484B-8C94-0EE17835869B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F06-484B-8C94-0EE17835869B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F06-484B-8C94-0EE17835869B}"/>
              </c:ext>
            </c:extLst>
          </c:dPt>
          <c:dPt>
            <c:idx val="9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F06-484B-8C94-0EE17835869B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F06-484B-8C94-0EE17835869B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F06-484B-8C94-0EE17835869B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F06-484B-8C94-0EE17835869B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F06-484B-8C94-0EE17835869B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F06-484B-8C94-0EE17835869B}"/>
              </c:ext>
            </c:extLst>
          </c:dPt>
          <c:dPt>
            <c:idx val="15"/>
            <c:bubble3D val="0"/>
            <c:spPr>
              <a:solidFill>
                <a:srgbClr val="FF5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F06-484B-8C94-0EE17835869B}"/>
              </c:ext>
            </c:extLst>
          </c:dPt>
          <c:dPt>
            <c:idx val="16"/>
            <c:bubble3D val="0"/>
            <c:spPr>
              <a:solidFill>
                <a:srgbClr val="FF7C8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F06-484B-8C94-0EE17835869B}"/>
              </c:ext>
            </c:extLst>
          </c:dPt>
          <c:dPt>
            <c:idx val="17"/>
            <c:bubble3D val="0"/>
            <c:spPr>
              <a:solidFill>
                <a:srgbClr val="FFCC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F06-484B-8C94-0EE17835869B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F06-484B-8C94-0EE17835869B}"/>
              </c:ext>
            </c:extLst>
          </c:dPt>
          <c:dPt>
            <c:idx val="19"/>
            <c:bubble3D val="0"/>
            <c:spPr>
              <a:solidFill>
                <a:srgbClr val="FF993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F06-484B-8C94-0EE17835869B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F06-484B-8C94-0EE17835869B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F06-484B-8C94-0EE17835869B}"/>
              </c:ext>
            </c:extLst>
          </c:dPt>
          <c:dPt>
            <c:idx val="22"/>
            <c:bubble3D val="0"/>
            <c:spPr>
              <a:solidFill>
                <a:schemeClr val="accent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F06-484B-8C94-0EE17835869B}"/>
              </c:ext>
            </c:extLst>
          </c:dPt>
          <c:dPt>
            <c:idx val="23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F06-484B-8C94-0EE17835869B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F06-484B-8C94-0EE17835869B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pie'!$F$3:$F$27</c:f>
              <c:numCache>
                <c:formatCode>General</c:formatCode>
                <c:ptCount val="25"/>
                <c:pt idx="0">
                  <c:v>13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14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3F06-484B-8C94-0EE17835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7291442844702E-3"/>
          <c:y val="1.4915370546325052E-2"/>
          <c:w val="0.15585392849094382"/>
          <c:h val="0.97602534032967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Pc vs C - DOWN</a:t>
            </a:r>
          </a:p>
        </c:rich>
      </c:tx>
      <c:layout>
        <c:manualLayout>
          <c:xMode val="edge"/>
          <c:yMode val="edge"/>
          <c:x val="0.72959832115289169"/>
          <c:y val="3.284321188585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'COG pie'!$G$2</c:f>
              <c:strCache>
                <c:ptCount val="1"/>
                <c:pt idx="0">
                  <c:v>DOWN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33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62-4AD8-A0D5-E6117CAF9263}"/>
              </c:ext>
            </c:extLst>
          </c:dPt>
          <c:dPt>
            <c:idx val="1"/>
            <c:bubble3D val="0"/>
            <c:spPr>
              <a:solidFill>
                <a:srgbClr val="6699FF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62-4AD8-A0D5-E6117CAF9263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62-4AD8-A0D5-E6117CAF9263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62-4AD8-A0D5-E6117CAF9263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62-4AD8-A0D5-E6117CAF92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A62-4AD8-A0D5-E6117CAF9263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A62-4AD8-A0D5-E6117CAF9263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A62-4AD8-A0D5-E6117CAF9263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A62-4AD8-A0D5-E6117CAF9263}"/>
              </c:ext>
            </c:extLst>
          </c:dPt>
          <c:dPt>
            <c:idx val="9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A62-4AD8-A0D5-E6117CAF9263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A62-4AD8-A0D5-E6117CAF9263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A62-4AD8-A0D5-E6117CAF9263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A62-4AD8-A0D5-E6117CAF9263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A62-4AD8-A0D5-E6117CAF9263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A62-4AD8-A0D5-E6117CAF9263}"/>
              </c:ext>
            </c:extLst>
          </c:dPt>
          <c:dPt>
            <c:idx val="15"/>
            <c:bubble3D val="0"/>
            <c:spPr>
              <a:solidFill>
                <a:srgbClr val="FF5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A62-4AD8-A0D5-E6117CAF9263}"/>
              </c:ext>
            </c:extLst>
          </c:dPt>
          <c:dPt>
            <c:idx val="16"/>
            <c:bubble3D val="0"/>
            <c:spPr>
              <a:solidFill>
                <a:srgbClr val="FF7C8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A62-4AD8-A0D5-E6117CAF9263}"/>
              </c:ext>
            </c:extLst>
          </c:dPt>
          <c:dPt>
            <c:idx val="17"/>
            <c:bubble3D val="0"/>
            <c:spPr>
              <a:solidFill>
                <a:srgbClr val="FFCC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A62-4AD8-A0D5-E6117CAF9263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A62-4AD8-A0D5-E6117CAF9263}"/>
              </c:ext>
            </c:extLst>
          </c:dPt>
          <c:dPt>
            <c:idx val="19"/>
            <c:bubble3D val="0"/>
            <c:spPr>
              <a:solidFill>
                <a:srgbClr val="FF993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A62-4AD8-A0D5-E6117CAF9263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A62-4AD8-A0D5-E6117CAF9263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A62-4AD8-A0D5-E6117CAF9263}"/>
              </c:ext>
            </c:extLst>
          </c:dPt>
          <c:dPt>
            <c:idx val="22"/>
            <c:bubble3D val="0"/>
            <c:spPr>
              <a:solidFill>
                <a:schemeClr val="accent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A62-4AD8-A0D5-E6117CAF9263}"/>
              </c:ext>
            </c:extLst>
          </c:dPt>
          <c:dPt>
            <c:idx val="23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A62-4AD8-A0D5-E6117CAF9263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A62-4AD8-A0D5-E6117CAF9263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pie'!$G$3:$G$27</c:f>
              <c:numCache>
                <c:formatCode>General</c:formatCode>
                <c:ptCount val="2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8</c:v>
                </c:pt>
                <c:pt idx="17">
                  <c:v>10</c:v>
                </c:pt>
                <c:pt idx="18">
                  <c:v>5</c:v>
                </c:pt>
                <c:pt idx="19">
                  <c:v>0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10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A62-4AD8-A0D5-E6117CAF9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7291442844702E-3"/>
          <c:y val="1.4915370546325052E-2"/>
          <c:w val="0.15585392849094382"/>
          <c:h val="0.97602534032967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MeJA + Pc vs C - UP</a:t>
            </a:r>
          </a:p>
        </c:rich>
      </c:tx>
      <c:layout>
        <c:manualLayout>
          <c:xMode val="edge"/>
          <c:yMode val="edge"/>
          <c:x val="0.72959832115289169"/>
          <c:y val="3.284321188585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'COG pie'!$H$2</c:f>
              <c:strCache>
                <c:ptCount val="1"/>
                <c:pt idx="0">
                  <c:v>UP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33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78-454D-B4CA-D4226674FBC0}"/>
              </c:ext>
            </c:extLst>
          </c:dPt>
          <c:dPt>
            <c:idx val="1"/>
            <c:bubble3D val="0"/>
            <c:spPr>
              <a:solidFill>
                <a:srgbClr val="6699FF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78-454D-B4CA-D4226674FBC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78-454D-B4CA-D4226674FBC0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78-454D-B4CA-D4226674FBC0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78-454D-B4CA-D4226674FB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78-454D-B4CA-D4226674FBC0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178-454D-B4CA-D4226674FBC0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178-454D-B4CA-D4226674FBC0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178-454D-B4CA-D4226674FBC0}"/>
              </c:ext>
            </c:extLst>
          </c:dPt>
          <c:dPt>
            <c:idx val="9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178-454D-B4CA-D4226674FBC0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178-454D-B4CA-D4226674FBC0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178-454D-B4CA-D4226674FBC0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178-454D-B4CA-D4226674FBC0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178-454D-B4CA-D4226674FBC0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178-454D-B4CA-D4226674FBC0}"/>
              </c:ext>
            </c:extLst>
          </c:dPt>
          <c:dPt>
            <c:idx val="15"/>
            <c:bubble3D val="0"/>
            <c:spPr>
              <a:solidFill>
                <a:srgbClr val="FF5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178-454D-B4CA-D4226674FBC0}"/>
              </c:ext>
            </c:extLst>
          </c:dPt>
          <c:dPt>
            <c:idx val="16"/>
            <c:bubble3D val="0"/>
            <c:spPr>
              <a:solidFill>
                <a:srgbClr val="FF7C8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178-454D-B4CA-D4226674FBC0}"/>
              </c:ext>
            </c:extLst>
          </c:dPt>
          <c:dPt>
            <c:idx val="17"/>
            <c:bubble3D val="0"/>
            <c:spPr>
              <a:solidFill>
                <a:srgbClr val="FFCC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178-454D-B4CA-D4226674FBC0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178-454D-B4CA-D4226674FBC0}"/>
              </c:ext>
            </c:extLst>
          </c:dPt>
          <c:dPt>
            <c:idx val="19"/>
            <c:bubble3D val="0"/>
            <c:spPr>
              <a:solidFill>
                <a:srgbClr val="FF993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178-454D-B4CA-D4226674FBC0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178-454D-B4CA-D4226674FBC0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178-454D-B4CA-D4226674FBC0}"/>
              </c:ext>
            </c:extLst>
          </c:dPt>
          <c:dPt>
            <c:idx val="22"/>
            <c:bubble3D val="0"/>
            <c:spPr>
              <a:solidFill>
                <a:schemeClr val="accent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178-454D-B4CA-D4226674FBC0}"/>
              </c:ext>
            </c:extLst>
          </c:dPt>
          <c:dPt>
            <c:idx val="23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178-454D-B4CA-D4226674FBC0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178-454D-B4CA-D4226674FBC0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pie'!$H$3:$H$27</c:f>
              <c:numCache>
                <c:formatCode>General</c:formatCode>
                <c:ptCount val="25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6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178-454D-B4CA-D4226674F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7291442844702E-3"/>
          <c:y val="1.4915370546325052E-2"/>
          <c:w val="0.15585392849094382"/>
          <c:h val="0.97602534032967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MeJA + Pc vs C - DOWN</a:t>
            </a:r>
          </a:p>
        </c:rich>
      </c:tx>
      <c:layout>
        <c:manualLayout>
          <c:xMode val="edge"/>
          <c:yMode val="edge"/>
          <c:x val="0.72959832115289169"/>
          <c:y val="3.284321188585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'COG pie'!$I$2</c:f>
              <c:strCache>
                <c:ptCount val="1"/>
                <c:pt idx="0">
                  <c:v>DOWN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33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44-48FE-8747-4F2A75212D2E}"/>
              </c:ext>
            </c:extLst>
          </c:dPt>
          <c:dPt>
            <c:idx val="1"/>
            <c:bubble3D val="0"/>
            <c:spPr>
              <a:solidFill>
                <a:srgbClr val="6699FF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4-48FE-8747-4F2A75212D2E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44-48FE-8747-4F2A75212D2E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44-48FE-8747-4F2A75212D2E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44-48FE-8747-4F2A75212D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44-48FE-8747-4F2A75212D2E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D44-48FE-8747-4F2A75212D2E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D44-48FE-8747-4F2A75212D2E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D44-48FE-8747-4F2A75212D2E}"/>
              </c:ext>
            </c:extLst>
          </c:dPt>
          <c:dPt>
            <c:idx val="9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D44-48FE-8747-4F2A75212D2E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D44-48FE-8747-4F2A75212D2E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D44-48FE-8747-4F2A75212D2E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D44-48FE-8747-4F2A75212D2E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D44-48FE-8747-4F2A75212D2E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D44-48FE-8747-4F2A75212D2E}"/>
              </c:ext>
            </c:extLst>
          </c:dPt>
          <c:dPt>
            <c:idx val="15"/>
            <c:bubble3D val="0"/>
            <c:spPr>
              <a:solidFill>
                <a:srgbClr val="FF5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D44-48FE-8747-4F2A75212D2E}"/>
              </c:ext>
            </c:extLst>
          </c:dPt>
          <c:dPt>
            <c:idx val="16"/>
            <c:bubble3D val="0"/>
            <c:spPr>
              <a:solidFill>
                <a:srgbClr val="FF7C8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D44-48FE-8747-4F2A75212D2E}"/>
              </c:ext>
            </c:extLst>
          </c:dPt>
          <c:dPt>
            <c:idx val="17"/>
            <c:bubble3D val="0"/>
            <c:spPr>
              <a:solidFill>
                <a:srgbClr val="FFCC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D44-48FE-8747-4F2A75212D2E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D44-48FE-8747-4F2A75212D2E}"/>
              </c:ext>
            </c:extLst>
          </c:dPt>
          <c:dPt>
            <c:idx val="19"/>
            <c:bubble3D val="0"/>
            <c:spPr>
              <a:solidFill>
                <a:srgbClr val="FF993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D44-48FE-8747-4F2A75212D2E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D44-48FE-8747-4F2A75212D2E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D44-48FE-8747-4F2A75212D2E}"/>
              </c:ext>
            </c:extLst>
          </c:dPt>
          <c:dPt>
            <c:idx val="22"/>
            <c:bubble3D val="0"/>
            <c:spPr>
              <a:solidFill>
                <a:schemeClr val="accent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D44-48FE-8747-4F2A75212D2E}"/>
              </c:ext>
            </c:extLst>
          </c:dPt>
          <c:dPt>
            <c:idx val="23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D44-48FE-8747-4F2A75212D2E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D44-48FE-8747-4F2A75212D2E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pie'!$I$3:$I$27</c:f>
              <c:numCache>
                <c:formatCode>General</c:formatCode>
                <c:ptCount val="25"/>
                <c:pt idx="0">
                  <c:v>18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7</c:v>
                </c:pt>
                <c:pt idx="17">
                  <c:v>9</c:v>
                </c:pt>
                <c:pt idx="18">
                  <c:v>8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D44-48FE-8747-4F2A7521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7291442844702E-3"/>
          <c:y val="1.4915370546325052E-2"/>
          <c:w val="0.15585392849094382"/>
          <c:h val="0.97602534032967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MeJA vs C - UP</a:t>
            </a:r>
          </a:p>
        </c:rich>
      </c:tx>
      <c:layout>
        <c:manualLayout>
          <c:xMode val="edge"/>
          <c:yMode val="edge"/>
          <c:x val="0.72959832115289169"/>
          <c:y val="3.2843211885856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'COG pie'!$E$2</c:f>
              <c:strCache>
                <c:ptCount val="1"/>
                <c:pt idx="0">
                  <c:v>DOWN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33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FA-47C5-929F-D63E7FEE9C6F}"/>
              </c:ext>
            </c:extLst>
          </c:dPt>
          <c:dPt>
            <c:idx val="1"/>
            <c:bubble3D val="0"/>
            <c:spPr>
              <a:solidFill>
                <a:srgbClr val="6699FF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FA-47C5-929F-D63E7FEE9C6F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FA-47C5-929F-D63E7FEE9C6F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FA-47C5-929F-D63E7FEE9C6F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FA-47C5-929F-D63E7FEE9C6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FA-47C5-929F-D63E7FEE9C6F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FA-47C5-929F-D63E7FEE9C6F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FA-47C5-929F-D63E7FEE9C6F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2FA-47C5-929F-D63E7FEE9C6F}"/>
              </c:ext>
            </c:extLst>
          </c:dPt>
          <c:dPt>
            <c:idx val="9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2FA-47C5-929F-D63E7FEE9C6F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2FA-47C5-929F-D63E7FEE9C6F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2FA-47C5-929F-D63E7FEE9C6F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2FA-47C5-929F-D63E7FEE9C6F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2FA-47C5-929F-D63E7FEE9C6F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2FA-47C5-929F-D63E7FEE9C6F}"/>
              </c:ext>
            </c:extLst>
          </c:dPt>
          <c:dPt>
            <c:idx val="15"/>
            <c:bubble3D val="0"/>
            <c:spPr>
              <a:solidFill>
                <a:srgbClr val="FF505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2FA-47C5-929F-D63E7FEE9C6F}"/>
              </c:ext>
            </c:extLst>
          </c:dPt>
          <c:dPt>
            <c:idx val="16"/>
            <c:bubble3D val="0"/>
            <c:spPr>
              <a:solidFill>
                <a:srgbClr val="FF7C80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2FA-47C5-929F-D63E7FEE9C6F}"/>
              </c:ext>
            </c:extLst>
          </c:dPt>
          <c:dPt>
            <c:idx val="17"/>
            <c:bubble3D val="0"/>
            <c:spPr>
              <a:solidFill>
                <a:srgbClr val="FFCCCC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2FA-47C5-929F-D63E7FEE9C6F}"/>
              </c:ext>
            </c:extLst>
          </c:dPt>
          <c:dPt>
            <c:idx val="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2FA-47C5-929F-D63E7FEE9C6F}"/>
              </c:ext>
            </c:extLst>
          </c:dPt>
          <c:dPt>
            <c:idx val="19"/>
            <c:bubble3D val="0"/>
            <c:spPr>
              <a:solidFill>
                <a:srgbClr val="FF9933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2FA-47C5-929F-D63E7FEE9C6F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2FA-47C5-929F-D63E7FEE9C6F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2FA-47C5-929F-D63E7FEE9C6F}"/>
              </c:ext>
            </c:extLst>
          </c:dPt>
          <c:dPt>
            <c:idx val="22"/>
            <c:bubble3D val="0"/>
            <c:spPr>
              <a:solidFill>
                <a:schemeClr val="accent2">
                  <a:lumMod val="50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2FA-47C5-929F-D63E7FEE9C6F}"/>
              </c:ext>
            </c:extLst>
          </c:dPt>
          <c:dPt>
            <c:idx val="23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2FA-47C5-929F-D63E7FEE9C6F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31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2FA-47C5-929F-D63E7FEE9C6F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pie'!$E$3:$E$27</c:f>
              <c:numCache>
                <c:formatCode>General</c:formatCode>
                <c:ptCount val="2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13</c:v>
                </c:pt>
                <c:pt idx="17">
                  <c:v>5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2FA-47C5-929F-D63E7FEE9C6F}"/>
            </c:ext>
          </c:extLst>
        </c:ser>
        <c:ser>
          <c:idx val="1"/>
          <c:order val="1"/>
          <c:tx>
            <c:strRef>
              <c:f>'COG pie'!$D$2</c:f>
              <c:strCache>
                <c:ptCount val="1"/>
                <c:pt idx="0">
                  <c:v>UP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82FA-47C5-929F-D63E7FEE9C6F}"/>
              </c:ext>
            </c:extLst>
          </c:dPt>
          <c:dPt>
            <c:idx val="1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82FA-47C5-929F-D63E7FEE9C6F}"/>
              </c:ext>
            </c:extLst>
          </c:dPt>
          <c:dPt>
            <c:idx val="2"/>
            <c:bubble3D val="0"/>
            <c:spPr>
              <a:solidFill>
                <a:schemeClr val="accent5">
                  <a:shade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82FA-47C5-929F-D63E7FEE9C6F}"/>
              </c:ext>
            </c:extLst>
          </c:dPt>
          <c:dPt>
            <c:idx val="3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82FA-47C5-929F-D63E7FEE9C6F}"/>
              </c:ext>
            </c:extLst>
          </c:dPt>
          <c:dPt>
            <c:idx val="4"/>
            <c:bubble3D val="0"/>
            <c:spPr>
              <a:solidFill>
                <a:schemeClr val="accent5">
                  <a:shade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82FA-47C5-929F-D63E7FEE9C6F}"/>
              </c:ext>
            </c:extLst>
          </c:dPt>
          <c:dPt>
            <c:idx val="5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82FA-47C5-929F-D63E7FEE9C6F}"/>
              </c:ext>
            </c:extLst>
          </c:dPt>
          <c:dPt>
            <c:idx val="6"/>
            <c:bubble3D val="0"/>
            <c:spPr>
              <a:solidFill>
                <a:schemeClr val="accent5">
                  <a:shade val="6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82FA-47C5-929F-D63E7FEE9C6F}"/>
              </c:ext>
            </c:extLst>
          </c:dPt>
          <c:dPt>
            <c:idx val="7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82FA-47C5-929F-D63E7FEE9C6F}"/>
              </c:ext>
            </c:extLst>
          </c:dPt>
          <c:dPt>
            <c:idx val="8"/>
            <c:bubble3D val="0"/>
            <c:spPr>
              <a:solidFill>
                <a:schemeClr val="accent5">
                  <a:shade val="7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82FA-47C5-929F-D63E7FEE9C6F}"/>
              </c:ext>
            </c:extLst>
          </c:dPt>
          <c:dPt>
            <c:idx val="9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82FA-47C5-929F-D63E7FEE9C6F}"/>
              </c:ext>
            </c:extLst>
          </c:dPt>
          <c:dPt>
            <c:idx val="10"/>
            <c:bubble3D val="0"/>
            <c:spPr>
              <a:solidFill>
                <a:schemeClr val="accent5">
                  <a:shade val="8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82FA-47C5-929F-D63E7FEE9C6F}"/>
              </c:ext>
            </c:extLst>
          </c:dPt>
          <c:dPt>
            <c:idx val="11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82FA-47C5-929F-D63E7FEE9C6F}"/>
              </c:ext>
            </c:extLst>
          </c:dPt>
          <c:dPt>
            <c:idx val="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82FA-47C5-929F-D63E7FEE9C6F}"/>
              </c:ext>
            </c:extLst>
          </c:dPt>
          <c:dPt>
            <c:idx val="13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82FA-47C5-929F-D63E7FEE9C6F}"/>
              </c:ext>
            </c:extLst>
          </c:dPt>
          <c:dPt>
            <c:idx val="14"/>
            <c:bubble3D val="0"/>
            <c:spPr>
              <a:solidFill>
                <a:schemeClr val="accent5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82FA-47C5-929F-D63E7FEE9C6F}"/>
              </c:ext>
            </c:extLst>
          </c:dPt>
          <c:dPt>
            <c:idx val="15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82FA-47C5-929F-D63E7FEE9C6F}"/>
              </c:ext>
            </c:extLst>
          </c:dPt>
          <c:dPt>
            <c:idx val="16"/>
            <c:bubble3D val="0"/>
            <c:spPr>
              <a:solidFill>
                <a:schemeClr val="accent5">
                  <a:tint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82FA-47C5-929F-D63E7FEE9C6F}"/>
              </c:ext>
            </c:extLst>
          </c:dPt>
          <c:dPt>
            <c:idx val="17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82FA-47C5-929F-D63E7FEE9C6F}"/>
              </c:ext>
            </c:extLst>
          </c:dPt>
          <c:dPt>
            <c:idx val="18"/>
            <c:bubble3D val="0"/>
            <c:spPr>
              <a:solidFill>
                <a:schemeClr val="accent5">
                  <a:tint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82FA-47C5-929F-D63E7FEE9C6F}"/>
              </c:ext>
            </c:extLst>
          </c:dPt>
          <c:dPt>
            <c:idx val="1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82FA-47C5-929F-D63E7FEE9C6F}"/>
              </c:ext>
            </c:extLst>
          </c:dPt>
          <c:dPt>
            <c:idx val="20"/>
            <c:bubble3D val="0"/>
            <c:spPr>
              <a:solidFill>
                <a:schemeClr val="accent5">
                  <a:tint val="5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82FA-47C5-929F-D63E7FEE9C6F}"/>
              </c:ext>
            </c:extLst>
          </c:dPt>
          <c:dPt>
            <c:idx val="21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82FA-47C5-929F-D63E7FEE9C6F}"/>
              </c:ext>
            </c:extLst>
          </c:dPt>
          <c:dPt>
            <c:idx val="22"/>
            <c:bubble3D val="0"/>
            <c:spPr>
              <a:solidFill>
                <a:schemeClr val="accent5">
                  <a:tint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82FA-47C5-929F-D63E7FEE9C6F}"/>
              </c:ext>
            </c:extLst>
          </c:dPt>
          <c:dPt>
            <c:idx val="23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82FA-47C5-929F-D63E7FEE9C6F}"/>
              </c:ext>
            </c:extLst>
          </c:dPt>
          <c:dPt>
            <c:idx val="24"/>
            <c:bubble3D val="0"/>
            <c:spPr>
              <a:solidFill>
                <a:schemeClr val="accent5">
                  <a:tint val="3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82FA-47C5-929F-D63E7FEE9C6F}"/>
              </c:ext>
            </c:extLst>
          </c:dPt>
          <c:cat>
            <c:strRef>
              <c:f>'COG pie'!$C$3:$C$27</c:f>
              <c:strCache>
                <c:ptCount val="25"/>
                <c:pt idx="0">
                  <c:v>J</c:v>
                </c:pt>
                <c:pt idx="1">
                  <c:v>A</c:v>
                </c:pt>
                <c:pt idx="2">
                  <c:v>L</c:v>
                </c:pt>
                <c:pt idx="3">
                  <c:v>K</c:v>
                </c:pt>
                <c:pt idx="4">
                  <c:v>B</c:v>
                </c:pt>
                <c:pt idx="5">
                  <c:v>O</c:v>
                </c:pt>
                <c:pt idx="6">
                  <c:v>U</c:v>
                </c:pt>
                <c:pt idx="7">
                  <c:v>T</c:v>
                </c:pt>
                <c:pt idx="8">
                  <c:v>Z</c:v>
                </c:pt>
                <c:pt idx="9">
                  <c:v>M</c:v>
                </c:pt>
                <c:pt idx="10">
                  <c:v>Y</c:v>
                </c:pt>
                <c:pt idx="11">
                  <c:v>W</c:v>
                </c:pt>
                <c:pt idx="12">
                  <c:v>V</c:v>
                </c:pt>
                <c:pt idx="13">
                  <c:v>V</c:v>
                </c:pt>
                <c:pt idx="14">
                  <c:v>D</c:v>
                </c:pt>
                <c:pt idx="15">
                  <c:v>Q</c:v>
                </c:pt>
                <c:pt idx="16">
                  <c:v>G</c:v>
                </c:pt>
                <c:pt idx="17">
                  <c:v>E</c:v>
                </c:pt>
                <c:pt idx="18">
                  <c:v>C</c:v>
                </c:pt>
                <c:pt idx="19">
                  <c:v>H</c:v>
                </c:pt>
                <c:pt idx="20">
                  <c:v>I</c:v>
                </c:pt>
                <c:pt idx="21">
                  <c:v>F</c:v>
                </c:pt>
                <c:pt idx="22">
                  <c:v>P</c:v>
                </c:pt>
                <c:pt idx="23">
                  <c:v>S</c:v>
                </c:pt>
                <c:pt idx="24">
                  <c:v>R</c:v>
                </c:pt>
              </c:strCache>
            </c:strRef>
          </c:cat>
          <c:val>
            <c:numRef>
              <c:f>'COG pie'!$D$3:$D$27</c:f>
              <c:numCache>
                <c:formatCode>General</c:formatCode>
                <c:ptCount val="25"/>
                <c:pt idx="0">
                  <c:v>27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39</c:v>
                </c:pt>
                <c:pt idx="6">
                  <c:v>23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24</c:v>
                </c:pt>
                <c:pt idx="16">
                  <c:v>22</c:v>
                </c:pt>
                <c:pt idx="17">
                  <c:v>15</c:v>
                </c:pt>
                <c:pt idx="18">
                  <c:v>14</c:v>
                </c:pt>
                <c:pt idx="19">
                  <c:v>7</c:v>
                </c:pt>
                <c:pt idx="20">
                  <c:v>6</c:v>
                </c:pt>
                <c:pt idx="21">
                  <c:v>3</c:v>
                </c:pt>
                <c:pt idx="22">
                  <c:v>2</c:v>
                </c:pt>
                <c:pt idx="23">
                  <c:v>34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82FA-47C5-929F-D63E7FEE9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077291442844702E-3"/>
          <c:y val="1.4915370546325052E-2"/>
          <c:w val="0.15585392849094382"/>
          <c:h val="0.97602534032967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MeJA vs C - Sequences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KEGG MeJA vs C'!$B$4</c:f>
              <c:strCache>
                <c:ptCount val="1"/>
                <c:pt idx="0">
                  <c:v>Sequences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KEGG MeJA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Glutathione metabolism</c:v>
                </c:pt>
                <c:pt idx="4">
                  <c:v>Starch and sucrose metabolism</c:v>
                </c:pt>
                <c:pt idx="5">
                  <c:v>Carbon fixation pathways in prokaryotes</c:v>
                </c:pt>
                <c:pt idx="6">
                  <c:v>Citrate cycle (TCA cycle)</c:v>
                </c:pt>
                <c:pt idx="7">
                  <c:v>Galactose metabolism</c:v>
                </c:pt>
                <c:pt idx="8">
                  <c:v>Amino sugar and nucleotide sugar metabolism</c:v>
                </c:pt>
                <c:pt idx="9">
                  <c:v>Methane metabolism</c:v>
                </c:pt>
                <c:pt idx="10">
                  <c:v>Carbon fixation in photosynthetic organisms</c:v>
                </c:pt>
                <c:pt idx="11">
                  <c:v>Pentose phosphate pathway</c:v>
                </c:pt>
                <c:pt idx="12">
                  <c:v>Cysteine and methionine metabolism</c:v>
                </c:pt>
                <c:pt idx="13">
                  <c:v>Phenylalanine, tyrosine and tryptophan biosynthesis</c:v>
                </c:pt>
                <c:pt idx="14">
                  <c:v>Glyoxylate and dicarboxylate metabolism</c:v>
                </c:pt>
                <c:pt idx="15">
                  <c:v>Folate biosynthesis</c:v>
                </c:pt>
                <c:pt idx="16">
                  <c:v>Fructose and mannose metabolism</c:v>
                </c:pt>
                <c:pt idx="17">
                  <c:v>Phenylpropanoid biosynthesis</c:v>
                </c:pt>
              </c:strCache>
            </c:strRef>
          </c:cat>
          <c:val>
            <c:numRef>
              <c:f>' KEGG MeJA vs C'!$B$5:$B$22</c:f>
              <c:numCache>
                <c:formatCode>General</c:formatCode>
                <c:ptCount val="18"/>
                <c:pt idx="0">
                  <c:v>23</c:v>
                </c:pt>
                <c:pt idx="1">
                  <c:v>20</c:v>
                </c:pt>
                <c:pt idx="2">
                  <c:v>16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7-494E-97BC-6FD6D1291E4A}"/>
            </c:ext>
          </c:extLst>
        </c:ser>
        <c:ser>
          <c:idx val="1"/>
          <c:order val="1"/>
          <c:tx>
            <c:strRef>
              <c:f>' KEGG MeJA vs C'!$D$4</c:f>
              <c:strCache>
                <c:ptCount val="1"/>
                <c:pt idx="0">
                  <c:v>Sequences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KEGG MeJA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Glutathione metabolism</c:v>
                </c:pt>
                <c:pt idx="4">
                  <c:v>Starch and sucrose metabolism</c:v>
                </c:pt>
                <c:pt idx="5">
                  <c:v>Carbon fixation pathways in prokaryotes</c:v>
                </c:pt>
                <c:pt idx="6">
                  <c:v>Citrate cycle (TCA cycle)</c:v>
                </c:pt>
                <c:pt idx="7">
                  <c:v>Galactose metabolism</c:v>
                </c:pt>
                <c:pt idx="8">
                  <c:v>Amino sugar and nucleotide sugar metabolism</c:v>
                </c:pt>
                <c:pt idx="9">
                  <c:v>Methane metabolism</c:v>
                </c:pt>
                <c:pt idx="10">
                  <c:v>Carbon fixation in photosynthetic organisms</c:v>
                </c:pt>
                <c:pt idx="11">
                  <c:v>Pentose phosphate pathway</c:v>
                </c:pt>
                <c:pt idx="12">
                  <c:v>Cysteine and methionine metabolism</c:v>
                </c:pt>
                <c:pt idx="13">
                  <c:v>Phenylalanine, tyrosine and tryptophan biosynthesis</c:v>
                </c:pt>
                <c:pt idx="14">
                  <c:v>Glyoxylate and dicarboxylate metabolism</c:v>
                </c:pt>
                <c:pt idx="15">
                  <c:v>Folate biosynthesis</c:v>
                </c:pt>
                <c:pt idx="16">
                  <c:v>Fructose and mannose metabolism</c:v>
                </c:pt>
                <c:pt idx="17">
                  <c:v>Phenylpropanoid biosynthesis</c:v>
                </c:pt>
              </c:strCache>
            </c:strRef>
          </c:cat>
          <c:val>
            <c:numRef>
              <c:f>' KEGG MeJA vs C'!$D$5:$D$22</c:f>
              <c:numCache>
                <c:formatCode>General</c:formatCode>
                <c:ptCount val="18"/>
                <c:pt idx="0">
                  <c:v>-4</c:v>
                </c:pt>
                <c:pt idx="2">
                  <c:v>-6</c:v>
                </c:pt>
                <c:pt idx="4">
                  <c:v>-4</c:v>
                </c:pt>
                <c:pt idx="8">
                  <c:v>-4</c:v>
                </c:pt>
                <c:pt idx="9">
                  <c:v>-6</c:v>
                </c:pt>
                <c:pt idx="12">
                  <c:v>-4</c:v>
                </c:pt>
                <c:pt idx="14">
                  <c:v>-3</c:v>
                </c:pt>
                <c:pt idx="17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7-494E-97BC-6FD6D1291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1"/>
        <c:axId val="479305424"/>
        <c:axId val="479312088"/>
      </c:barChart>
      <c:catAx>
        <c:axId val="479305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9312088"/>
        <c:crosses val="autoZero"/>
        <c:auto val="1"/>
        <c:lblAlgn val="ctr"/>
        <c:lblOffset val="100"/>
        <c:noMultiLvlLbl val="0"/>
      </c:catAx>
      <c:valAx>
        <c:axId val="47931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930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MeJA vs C - Enzymes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KEGG MeJA vs C'!$C$4</c:f>
              <c:strCache>
                <c:ptCount val="1"/>
                <c:pt idx="0">
                  <c:v>Enzimes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 KEGG MeJA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Glutathione metabolism</c:v>
                </c:pt>
                <c:pt idx="4">
                  <c:v>Starch and sucrose metabolism</c:v>
                </c:pt>
                <c:pt idx="5">
                  <c:v>Carbon fixation pathways in prokaryotes</c:v>
                </c:pt>
                <c:pt idx="6">
                  <c:v>Citrate cycle (TCA cycle)</c:v>
                </c:pt>
                <c:pt idx="7">
                  <c:v>Galactose metabolism</c:v>
                </c:pt>
                <c:pt idx="8">
                  <c:v>Amino sugar and nucleotide sugar metabolism</c:v>
                </c:pt>
                <c:pt idx="9">
                  <c:v>Methane metabolism</c:v>
                </c:pt>
                <c:pt idx="10">
                  <c:v>Carbon fixation in photosynthetic organisms</c:v>
                </c:pt>
                <c:pt idx="11">
                  <c:v>Pentose phosphate pathway</c:v>
                </c:pt>
                <c:pt idx="12">
                  <c:v>Cysteine and methionine metabolism</c:v>
                </c:pt>
                <c:pt idx="13">
                  <c:v>Phenylalanine, tyrosine and tryptophan biosynthesis</c:v>
                </c:pt>
                <c:pt idx="14">
                  <c:v>Glyoxylate and dicarboxylate metabolism</c:v>
                </c:pt>
                <c:pt idx="15">
                  <c:v>Folate biosynthesis</c:v>
                </c:pt>
                <c:pt idx="16">
                  <c:v>Fructose and mannose metabolism</c:v>
                </c:pt>
                <c:pt idx="17">
                  <c:v>Phenylpropanoid biosynthesis</c:v>
                </c:pt>
              </c:strCache>
            </c:strRef>
          </c:cat>
          <c:val>
            <c:numRef>
              <c:f>' KEGG MeJA vs C'!$C$5:$C$22</c:f>
              <c:numCache>
                <c:formatCode>General</c:formatCode>
                <c:ptCount val="18"/>
                <c:pt idx="0">
                  <c:v>7</c:v>
                </c:pt>
                <c:pt idx="1">
                  <c:v>3</c:v>
                </c:pt>
                <c:pt idx="2">
                  <c:v>13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6-47A5-970C-FC83DF17CE5D}"/>
            </c:ext>
          </c:extLst>
        </c:ser>
        <c:ser>
          <c:idx val="1"/>
          <c:order val="1"/>
          <c:tx>
            <c:strRef>
              <c:f>' KEGG MeJA vs C'!$E$4</c:f>
              <c:strCache>
                <c:ptCount val="1"/>
                <c:pt idx="0">
                  <c:v>Enzimes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 KEGG MeJA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Glutathione metabolism</c:v>
                </c:pt>
                <c:pt idx="4">
                  <c:v>Starch and sucrose metabolism</c:v>
                </c:pt>
                <c:pt idx="5">
                  <c:v>Carbon fixation pathways in prokaryotes</c:v>
                </c:pt>
                <c:pt idx="6">
                  <c:v>Citrate cycle (TCA cycle)</c:v>
                </c:pt>
                <c:pt idx="7">
                  <c:v>Galactose metabolism</c:v>
                </c:pt>
                <c:pt idx="8">
                  <c:v>Amino sugar and nucleotide sugar metabolism</c:v>
                </c:pt>
                <c:pt idx="9">
                  <c:v>Methane metabolism</c:v>
                </c:pt>
                <c:pt idx="10">
                  <c:v>Carbon fixation in photosynthetic organisms</c:v>
                </c:pt>
                <c:pt idx="11">
                  <c:v>Pentose phosphate pathway</c:v>
                </c:pt>
                <c:pt idx="12">
                  <c:v>Cysteine and methionine metabolism</c:v>
                </c:pt>
                <c:pt idx="13">
                  <c:v>Phenylalanine, tyrosine and tryptophan biosynthesis</c:v>
                </c:pt>
                <c:pt idx="14">
                  <c:v>Glyoxylate and dicarboxylate metabolism</c:v>
                </c:pt>
                <c:pt idx="15">
                  <c:v>Folate biosynthesis</c:v>
                </c:pt>
                <c:pt idx="16">
                  <c:v>Fructose and mannose metabolism</c:v>
                </c:pt>
                <c:pt idx="17">
                  <c:v>Phenylpropanoid biosynthesis</c:v>
                </c:pt>
              </c:strCache>
            </c:strRef>
          </c:cat>
          <c:val>
            <c:numRef>
              <c:f>' KEGG MeJA vs C'!$E$5:$E$22</c:f>
              <c:numCache>
                <c:formatCode>General</c:formatCode>
                <c:ptCount val="18"/>
                <c:pt idx="0">
                  <c:v>-3</c:v>
                </c:pt>
                <c:pt idx="2">
                  <c:v>-5</c:v>
                </c:pt>
                <c:pt idx="4">
                  <c:v>-4</c:v>
                </c:pt>
                <c:pt idx="8">
                  <c:v>-4</c:v>
                </c:pt>
                <c:pt idx="9">
                  <c:v>-5</c:v>
                </c:pt>
                <c:pt idx="12">
                  <c:v>-4</c:v>
                </c:pt>
                <c:pt idx="14">
                  <c:v>-2</c:v>
                </c:pt>
                <c:pt idx="17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6-47A5-970C-FC83DF17C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455341152"/>
        <c:axId val="455348208"/>
      </c:barChart>
      <c:catAx>
        <c:axId val="45534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455348208"/>
        <c:crosses val="autoZero"/>
        <c:auto val="1"/>
        <c:lblAlgn val="ctr"/>
        <c:lblOffset val="0"/>
        <c:noMultiLvlLbl val="0"/>
      </c:catAx>
      <c:valAx>
        <c:axId val="4553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34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Pc vs C - Sequences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'KEGG Pc vs C'!$B$4</c:f>
              <c:strCache>
                <c:ptCount val="1"/>
                <c:pt idx="0">
                  <c:v>Sequences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'KEGG Pc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Cysteine and methionine metabolism</c:v>
                </c:pt>
                <c:pt idx="4">
                  <c:v>Phenylalanine, tyrosine and tryptophan biosynthesis</c:v>
                </c:pt>
                <c:pt idx="5">
                  <c:v>Glyoxylate and dicarboxylate metabolism</c:v>
                </c:pt>
                <c:pt idx="6">
                  <c:v>Phenylpropanoid biosynthesis</c:v>
                </c:pt>
                <c:pt idx="7">
                  <c:v>Fatty acid degradation</c:v>
                </c:pt>
                <c:pt idx="8">
                  <c:v>alpha-Linolenic acid metabolism</c:v>
                </c:pt>
                <c:pt idx="9">
                  <c:v>Tyrosine metabolism</c:v>
                </c:pt>
                <c:pt idx="10">
                  <c:v>Alanine, aspartate and glutamate metabolism</c:v>
                </c:pt>
                <c:pt idx="11">
                  <c:v>Valine, leucine and isoleucine degradation</c:v>
                </c:pt>
                <c:pt idx="12">
                  <c:v>Drug metabolism - cytochrome P450</c:v>
                </c:pt>
                <c:pt idx="13">
                  <c:v>Galactose metabolism</c:v>
                </c:pt>
                <c:pt idx="14">
                  <c:v>Metabolism of xenobiotics by cytochrome P450</c:v>
                </c:pt>
                <c:pt idx="15">
                  <c:v>Chloroalkane and chloroalkene degradation</c:v>
                </c:pt>
                <c:pt idx="16">
                  <c:v>Other glycan degradation</c:v>
                </c:pt>
                <c:pt idx="17">
                  <c:v>Arginine and proline metabolism</c:v>
                </c:pt>
              </c:strCache>
            </c:strRef>
          </c:cat>
          <c:val>
            <c:numRef>
              <c:f>'KEGG Pc vs C'!$B$5:$B$22</c:f>
              <c:numCache>
                <c:formatCode>General</c:formatCode>
                <c:ptCount val="18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5-4FE8-80DE-FCB44217BC62}"/>
            </c:ext>
          </c:extLst>
        </c:ser>
        <c:ser>
          <c:idx val="1"/>
          <c:order val="1"/>
          <c:tx>
            <c:strRef>
              <c:f>'KEGG Pc vs C'!$D$4</c:f>
              <c:strCache>
                <c:ptCount val="1"/>
                <c:pt idx="0">
                  <c:v>Sequences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'KEGG Pc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Cysteine and methionine metabolism</c:v>
                </c:pt>
                <c:pt idx="4">
                  <c:v>Phenylalanine, tyrosine and tryptophan biosynthesis</c:v>
                </c:pt>
                <c:pt idx="5">
                  <c:v>Glyoxylate and dicarboxylate metabolism</c:v>
                </c:pt>
                <c:pt idx="6">
                  <c:v>Phenylpropanoid biosynthesis</c:v>
                </c:pt>
                <c:pt idx="7">
                  <c:v>Fatty acid degradation</c:v>
                </c:pt>
                <c:pt idx="8">
                  <c:v>alpha-Linolenic acid metabolism</c:v>
                </c:pt>
                <c:pt idx="9">
                  <c:v>Tyrosine metabolism</c:v>
                </c:pt>
                <c:pt idx="10">
                  <c:v>Alanine, aspartate and glutamate metabolism</c:v>
                </c:pt>
                <c:pt idx="11">
                  <c:v>Valine, leucine and isoleucine degradation</c:v>
                </c:pt>
                <c:pt idx="12">
                  <c:v>Drug metabolism - cytochrome P450</c:v>
                </c:pt>
                <c:pt idx="13">
                  <c:v>Galactose metabolism</c:v>
                </c:pt>
                <c:pt idx="14">
                  <c:v>Metabolism of xenobiotics by cytochrome P450</c:v>
                </c:pt>
                <c:pt idx="15">
                  <c:v>Chloroalkane and chloroalkene degradation</c:v>
                </c:pt>
                <c:pt idx="16">
                  <c:v>Other glycan degradation</c:v>
                </c:pt>
                <c:pt idx="17">
                  <c:v>Arginine and proline metabolism</c:v>
                </c:pt>
              </c:strCache>
            </c:strRef>
          </c:cat>
          <c:val>
            <c:numRef>
              <c:f>'KEGG Pc vs C'!$D$5:$D$22</c:f>
              <c:numCache>
                <c:formatCode>General</c:formatCode>
                <c:ptCount val="18"/>
                <c:pt idx="2">
                  <c:v>-3</c:v>
                </c:pt>
                <c:pt idx="4">
                  <c:v>-3</c:v>
                </c:pt>
                <c:pt idx="7">
                  <c:v>-5</c:v>
                </c:pt>
                <c:pt idx="8">
                  <c:v>-4</c:v>
                </c:pt>
                <c:pt idx="9">
                  <c:v>-4</c:v>
                </c:pt>
                <c:pt idx="10">
                  <c:v>-4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5-4FE8-80DE-FCB44217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1"/>
        <c:axId val="479306992"/>
        <c:axId val="479309344"/>
      </c:barChart>
      <c:catAx>
        <c:axId val="479306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9309344"/>
        <c:crosses val="autoZero"/>
        <c:auto val="1"/>
        <c:lblAlgn val="ctr"/>
        <c:lblOffset val="100"/>
        <c:noMultiLvlLbl val="0"/>
      </c:catAx>
      <c:valAx>
        <c:axId val="4793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93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Pc vs C - Enzymes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'KEGG Pc vs C'!$C$4</c:f>
              <c:strCache>
                <c:ptCount val="1"/>
                <c:pt idx="0">
                  <c:v>Enzimes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'KEGG Pc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Cysteine and methionine metabolism</c:v>
                </c:pt>
                <c:pt idx="4">
                  <c:v>Phenylalanine, tyrosine and tryptophan biosynthesis</c:v>
                </c:pt>
                <c:pt idx="5">
                  <c:v>Glyoxylate and dicarboxylate metabolism</c:v>
                </c:pt>
                <c:pt idx="6">
                  <c:v>Phenylpropanoid biosynthesis</c:v>
                </c:pt>
                <c:pt idx="7">
                  <c:v>Fatty acid degradation</c:v>
                </c:pt>
                <c:pt idx="8">
                  <c:v>alpha-Linolenic acid metabolism</c:v>
                </c:pt>
                <c:pt idx="9">
                  <c:v>Tyrosine metabolism</c:v>
                </c:pt>
                <c:pt idx="10">
                  <c:v>Alanine, aspartate and glutamate metabolism</c:v>
                </c:pt>
                <c:pt idx="11">
                  <c:v>Valine, leucine and isoleucine degradation</c:v>
                </c:pt>
                <c:pt idx="12">
                  <c:v>Drug metabolism - cytochrome P450</c:v>
                </c:pt>
                <c:pt idx="13">
                  <c:v>Galactose metabolism</c:v>
                </c:pt>
                <c:pt idx="14">
                  <c:v>Metabolism of xenobiotics by cytochrome P450</c:v>
                </c:pt>
                <c:pt idx="15">
                  <c:v>Chloroalkane and chloroalkene degradation</c:v>
                </c:pt>
                <c:pt idx="16">
                  <c:v>Other glycan degradation</c:v>
                </c:pt>
                <c:pt idx="17">
                  <c:v>Arginine and proline metabolism</c:v>
                </c:pt>
              </c:strCache>
            </c:strRef>
          </c:cat>
          <c:val>
            <c:numRef>
              <c:f>'KEGG Pc vs C'!$C$5:$C$22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F-48D2-A5D5-5B60202235B4}"/>
            </c:ext>
          </c:extLst>
        </c:ser>
        <c:ser>
          <c:idx val="1"/>
          <c:order val="1"/>
          <c:tx>
            <c:strRef>
              <c:f>'KEGG Pc vs C'!$E$4</c:f>
              <c:strCache>
                <c:ptCount val="1"/>
                <c:pt idx="0">
                  <c:v>Enzimes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'KEGG Pc vs C'!$A$5:$A$22</c:f>
              <c:strCache>
                <c:ptCount val="18"/>
                <c:pt idx="0">
                  <c:v>Purine metabolism</c:v>
                </c:pt>
                <c:pt idx="1">
                  <c:v>Thiamine metabolism</c:v>
                </c:pt>
                <c:pt idx="2">
                  <c:v>Glycolysis / Gluconeogenesis</c:v>
                </c:pt>
                <c:pt idx="3">
                  <c:v>Cysteine and methionine metabolism</c:v>
                </c:pt>
                <c:pt idx="4">
                  <c:v>Phenylalanine, tyrosine and tryptophan biosynthesis</c:v>
                </c:pt>
                <c:pt idx="5">
                  <c:v>Glyoxylate and dicarboxylate metabolism</c:v>
                </c:pt>
                <c:pt idx="6">
                  <c:v>Phenylpropanoid biosynthesis</c:v>
                </c:pt>
                <c:pt idx="7">
                  <c:v>Fatty acid degradation</c:v>
                </c:pt>
                <c:pt idx="8">
                  <c:v>alpha-Linolenic acid metabolism</c:v>
                </c:pt>
                <c:pt idx="9">
                  <c:v>Tyrosine metabolism</c:v>
                </c:pt>
                <c:pt idx="10">
                  <c:v>Alanine, aspartate and glutamate metabolism</c:v>
                </c:pt>
                <c:pt idx="11">
                  <c:v>Valine, leucine and isoleucine degradation</c:v>
                </c:pt>
                <c:pt idx="12">
                  <c:v>Drug metabolism - cytochrome P450</c:v>
                </c:pt>
                <c:pt idx="13">
                  <c:v>Galactose metabolism</c:v>
                </c:pt>
                <c:pt idx="14">
                  <c:v>Metabolism of xenobiotics by cytochrome P450</c:v>
                </c:pt>
                <c:pt idx="15">
                  <c:v>Chloroalkane and chloroalkene degradation</c:v>
                </c:pt>
                <c:pt idx="16">
                  <c:v>Other glycan degradation</c:v>
                </c:pt>
                <c:pt idx="17">
                  <c:v>Arginine and proline metabolism</c:v>
                </c:pt>
              </c:strCache>
            </c:strRef>
          </c:cat>
          <c:val>
            <c:numRef>
              <c:f>'KEGG Pc vs C'!$E$5:$E$22</c:f>
              <c:numCache>
                <c:formatCode>General</c:formatCode>
                <c:ptCount val="18"/>
                <c:pt idx="2">
                  <c:v>-3</c:v>
                </c:pt>
                <c:pt idx="4">
                  <c:v>-4</c:v>
                </c:pt>
                <c:pt idx="7">
                  <c:v>-4</c:v>
                </c:pt>
                <c:pt idx="8">
                  <c:v>-3</c:v>
                </c:pt>
                <c:pt idx="9">
                  <c:v>-3</c:v>
                </c:pt>
                <c:pt idx="10">
                  <c:v>-5</c:v>
                </c:pt>
                <c:pt idx="11">
                  <c:v>-3</c:v>
                </c:pt>
                <c:pt idx="12">
                  <c:v>-2</c:v>
                </c:pt>
                <c:pt idx="13">
                  <c:v>-3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F-48D2-A5D5-5B602022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39732536"/>
        <c:axId val="739737240"/>
      </c:barChart>
      <c:catAx>
        <c:axId val="739732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739737240"/>
        <c:crosses val="autoZero"/>
        <c:auto val="1"/>
        <c:lblAlgn val="ctr"/>
        <c:lblOffset val="0"/>
        <c:noMultiLvlLbl val="0"/>
      </c:catAx>
      <c:valAx>
        <c:axId val="739737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9732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MeJA + Pc vs C - Sequences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'KEGG MeJA +Pc vs C'!$A$5:$A$20</c:f>
              <c:strCache>
                <c:ptCount val="16"/>
                <c:pt idx="0">
                  <c:v>Glyoxylate and dicarboxylate metabolism</c:v>
                </c:pt>
                <c:pt idx="1">
                  <c:v>Galactose metabolism</c:v>
                </c:pt>
                <c:pt idx="2">
                  <c:v>Glutathione metabolism</c:v>
                </c:pt>
                <c:pt idx="3">
                  <c:v>Tryptophan metabolism</c:v>
                </c:pt>
                <c:pt idx="4">
                  <c:v>Purine metabolism</c:v>
                </c:pt>
                <c:pt idx="5">
                  <c:v>Glycolysis / Gluconeogenesis</c:v>
                </c:pt>
                <c:pt idx="6">
                  <c:v>Phenylalanine, tyrosine and tryptophan biosynthesis</c:v>
                </c:pt>
                <c:pt idx="7">
                  <c:v>Valine, leucine and isoleucine degradation</c:v>
                </c:pt>
                <c:pt idx="8">
                  <c:v>Thiamine metabolism</c:v>
                </c:pt>
                <c:pt idx="9">
                  <c:v>Pyruvate metabolism</c:v>
                </c:pt>
                <c:pt idx="10">
                  <c:v>alpha-Linolenic acid metabolism</c:v>
                </c:pt>
                <c:pt idx="11">
                  <c:v>Methane metabolism</c:v>
                </c:pt>
                <c:pt idx="12">
                  <c:v>Glycine, serine and threonine metabolism</c:v>
                </c:pt>
                <c:pt idx="13">
                  <c:v>Fatty acid degradation</c:v>
                </c:pt>
                <c:pt idx="14">
                  <c:v>Arginine and proline metabolism</c:v>
                </c:pt>
                <c:pt idx="15">
                  <c:v>Phenylpropanoid biosynthesis</c:v>
                </c:pt>
              </c:strCache>
            </c:strRef>
          </c:cat>
          <c:val>
            <c:numRef>
              <c:f>'KEGG MeJA +Pc vs C'!$B$5:$B$20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6-4996-9BD7-A2C4DEB762A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'KEGG MeJA +Pc vs C'!$A$5:$A$20</c:f>
              <c:strCache>
                <c:ptCount val="16"/>
                <c:pt idx="0">
                  <c:v>Glyoxylate and dicarboxylate metabolism</c:v>
                </c:pt>
                <c:pt idx="1">
                  <c:v>Galactose metabolism</c:v>
                </c:pt>
                <c:pt idx="2">
                  <c:v>Glutathione metabolism</c:v>
                </c:pt>
                <c:pt idx="3">
                  <c:v>Tryptophan metabolism</c:v>
                </c:pt>
                <c:pt idx="4">
                  <c:v>Purine metabolism</c:v>
                </c:pt>
                <c:pt idx="5">
                  <c:v>Glycolysis / Gluconeogenesis</c:v>
                </c:pt>
                <c:pt idx="6">
                  <c:v>Phenylalanine, tyrosine and tryptophan biosynthesis</c:v>
                </c:pt>
                <c:pt idx="7">
                  <c:v>Valine, leucine and isoleucine degradation</c:v>
                </c:pt>
                <c:pt idx="8">
                  <c:v>Thiamine metabolism</c:v>
                </c:pt>
                <c:pt idx="9">
                  <c:v>Pyruvate metabolism</c:v>
                </c:pt>
                <c:pt idx="10">
                  <c:v>alpha-Linolenic acid metabolism</c:v>
                </c:pt>
                <c:pt idx="11">
                  <c:v>Methane metabolism</c:v>
                </c:pt>
                <c:pt idx="12">
                  <c:v>Glycine, serine and threonine metabolism</c:v>
                </c:pt>
                <c:pt idx="13">
                  <c:v>Fatty acid degradation</c:v>
                </c:pt>
                <c:pt idx="14">
                  <c:v>Arginine and proline metabolism</c:v>
                </c:pt>
                <c:pt idx="15">
                  <c:v>Phenylpropanoid biosynthesis</c:v>
                </c:pt>
              </c:strCache>
            </c:strRef>
          </c:cat>
          <c:val>
            <c:numRef>
              <c:f>'KEGG MeJA +Pc vs C'!$D$5:$D$20</c:f>
              <c:numCache>
                <c:formatCode>General</c:formatCode>
                <c:ptCount val="16"/>
                <c:pt idx="4">
                  <c:v>-8</c:v>
                </c:pt>
                <c:pt idx="5">
                  <c:v>-5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6-4996-9BD7-A2C4DEB76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1"/>
        <c:axId val="479324632"/>
        <c:axId val="479325024"/>
      </c:barChart>
      <c:catAx>
        <c:axId val="479324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9325024"/>
        <c:crosses val="autoZero"/>
        <c:auto val="1"/>
        <c:lblAlgn val="ctr"/>
        <c:lblOffset val="100"/>
        <c:noMultiLvlLbl val="0"/>
      </c:catAx>
      <c:valAx>
        <c:axId val="47932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9324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MeJA + Pc vs C - Enzymes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'KEGG MeJA +Pc vs C'!$C$4</c:f>
              <c:strCache>
                <c:ptCount val="1"/>
                <c:pt idx="0">
                  <c:v>Enzimes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'KEGG MeJA +Pc vs C'!$A$5:$A$20</c:f>
              <c:strCache>
                <c:ptCount val="16"/>
                <c:pt idx="0">
                  <c:v>Glyoxylate and dicarboxylate metabolism</c:v>
                </c:pt>
                <c:pt idx="1">
                  <c:v>Galactose metabolism</c:v>
                </c:pt>
                <c:pt idx="2">
                  <c:v>Glutathione metabolism</c:v>
                </c:pt>
                <c:pt idx="3">
                  <c:v>Tryptophan metabolism</c:v>
                </c:pt>
                <c:pt idx="4">
                  <c:v>Purine metabolism</c:v>
                </c:pt>
                <c:pt idx="5">
                  <c:v>Glycolysis / Gluconeogenesis</c:v>
                </c:pt>
                <c:pt idx="6">
                  <c:v>Phenylalanine, tyrosine and tryptophan biosynthesis</c:v>
                </c:pt>
                <c:pt idx="7">
                  <c:v>Valine, leucine and isoleucine degradation</c:v>
                </c:pt>
                <c:pt idx="8">
                  <c:v>Thiamine metabolism</c:v>
                </c:pt>
                <c:pt idx="9">
                  <c:v>Pyruvate metabolism</c:v>
                </c:pt>
                <c:pt idx="10">
                  <c:v>alpha-Linolenic acid metabolism</c:v>
                </c:pt>
                <c:pt idx="11">
                  <c:v>Methane metabolism</c:v>
                </c:pt>
                <c:pt idx="12">
                  <c:v>Glycine, serine and threonine metabolism</c:v>
                </c:pt>
                <c:pt idx="13">
                  <c:v>Fatty acid degradation</c:v>
                </c:pt>
                <c:pt idx="14">
                  <c:v>Arginine and proline metabolism</c:v>
                </c:pt>
                <c:pt idx="15">
                  <c:v>Phenylpropanoid biosynthesis</c:v>
                </c:pt>
              </c:strCache>
            </c:strRef>
          </c:cat>
          <c:val>
            <c:numRef>
              <c:f>'KEGG MeJA +Pc vs C'!$C$5:$C$20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9-4D6D-879A-8D93701E9D0A}"/>
            </c:ext>
          </c:extLst>
        </c:ser>
        <c:ser>
          <c:idx val="1"/>
          <c:order val="1"/>
          <c:tx>
            <c:strRef>
              <c:f>'KEGG MeJA +Pc vs C'!$E$4</c:f>
              <c:strCache>
                <c:ptCount val="1"/>
                <c:pt idx="0">
                  <c:v>Enzimes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strRef>
              <c:f>'KEGG MeJA +Pc vs C'!$A$5:$A$20</c:f>
              <c:strCache>
                <c:ptCount val="16"/>
                <c:pt idx="0">
                  <c:v>Glyoxylate and dicarboxylate metabolism</c:v>
                </c:pt>
                <c:pt idx="1">
                  <c:v>Galactose metabolism</c:v>
                </c:pt>
                <c:pt idx="2">
                  <c:v>Glutathione metabolism</c:v>
                </c:pt>
                <c:pt idx="3">
                  <c:v>Tryptophan metabolism</c:v>
                </c:pt>
                <c:pt idx="4">
                  <c:v>Purine metabolism</c:v>
                </c:pt>
                <c:pt idx="5">
                  <c:v>Glycolysis / Gluconeogenesis</c:v>
                </c:pt>
                <c:pt idx="6">
                  <c:v>Phenylalanine, tyrosine and tryptophan biosynthesis</c:v>
                </c:pt>
                <c:pt idx="7">
                  <c:v>Valine, leucine and isoleucine degradation</c:v>
                </c:pt>
                <c:pt idx="8">
                  <c:v>Thiamine metabolism</c:v>
                </c:pt>
                <c:pt idx="9">
                  <c:v>Pyruvate metabolism</c:v>
                </c:pt>
                <c:pt idx="10">
                  <c:v>alpha-Linolenic acid metabolism</c:v>
                </c:pt>
                <c:pt idx="11">
                  <c:v>Methane metabolism</c:v>
                </c:pt>
                <c:pt idx="12">
                  <c:v>Glycine, serine and threonine metabolism</c:v>
                </c:pt>
                <c:pt idx="13">
                  <c:v>Fatty acid degradation</c:v>
                </c:pt>
                <c:pt idx="14">
                  <c:v>Arginine and proline metabolism</c:v>
                </c:pt>
                <c:pt idx="15">
                  <c:v>Phenylpropanoid biosynthesis</c:v>
                </c:pt>
              </c:strCache>
            </c:strRef>
          </c:cat>
          <c:val>
            <c:numRef>
              <c:f>'KEGG MeJA +Pc vs C'!$E$5:$E$20</c:f>
              <c:numCache>
                <c:formatCode>General</c:formatCode>
                <c:ptCount val="16"/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-4</c:v>
                </c:pt>
                <c:pt idx="8">
                  <c:v>-1</c:v>
                </c:pt>
                <c:pt idx="9">
                  <c:v>-5</c:v>
                </c:pt>
                <c:pt idx="10">
                  <c:v>-2</c:v>
                </c:pt>
                <c:pt idx="11">
                  <c:v>-2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9-4D6D-879A-8D93701E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458482176"/>
        <c:axId val="458478256"/>
      </c:barChart>
      <c:catAx>
        <c:axId val="45848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458478256"/>
        <c:crosses val="autoZero"/>
        <c:auto val="1"/>
        <c:lblAlgn val="ctr"/>
        <c:lblOffset val="0"/>
        <c:noMultiLvlLbl val="0"/>
      </c:catAx>
      <c:valAx>
        <c:axId val="4584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848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3">
  <dgm:title val=""/>
  <dgm:desc val=""/>
  <dgm:catLst>
    <dgm:cat type="accent1" pri="11300"/>
  </dgm:catLst>
  <dgm:styleLbl name="node0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shade val="80000"/>
      </a:schemeClr>
      <a:schemeClr val="accent1">
        <a:tint val="7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/>
    <dgm:txEffectClrLst/>
  </dgm:styleLbl>
  <dgm:styleLbl name="node1">
    <dgm:fillClrLst>
      <a:schemeClr val="accent1">
        <a:shade val="80000"/>
      </a:schemeClr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lnNode1">
    <dgm:fillClrLst>
      <a:schemeClr val="accent1">
        <a:shade val="80000"/>
      </a:schemeClr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tint val="7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sibTrans1D1">
    <dgm:fillClrLst>
      <a:schemeClr val="accent1">
        <a:shade val="90000"/>
      </a:schemeClr>
      <a:schemeClr val="accent1">
        <a:tint val="70000"/>
      </a:schemeClr>
    </dgm:fillClrLst>
    <dgm:linClrLst>
      <a:schemeClr val="accent1">
        <a:shade val="90000"/>
      </a:schemeClr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9000"/>
      </a:schemeClr>
    </dgm:fillClrLst>
    <dgm:linClrLst meth="repeat">
      <a:schemeClr val="accent1">
        <a:tint val="99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80000"/>
      </a:schemeClr>
    </dgm:fillClrLst>
    <dgm:linClrLst meth="repeat">
      <a:schemeClr val="accent1">
        <a:tint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shade val="80000"/>
      </a:schemeClr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9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8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2_4">
  <dgm:title val=""/>
  <dgm:desc val=""/>
  <dgm:catLst>
    <dgm:cat type="accent2" pri="11400"/>
  </dgm:catLst>
  <dgm:styleLbl name="node0">
    <dgm:fillClrLst meth="cycle">
      <a:schemeClr val="accent2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2">
        <a:shade val="50000"/>
      </a:schemeClr>
      <a:schemeClr val="accent2">
        <a:tint val="4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2">
        <a:shade val="50000"/>
      </a:schemeClr>
      <a:schemeClr val="accent2">
        <a:tint val="45000"/>
      </a:schemeClr>
    </dgm:fillClrLst>
    <dgm:linClrLst meth="cycle">
      <a:schemeClr val="accent2">
        <a:shade val="50000"/>
      </a:schemeClr>
      <a:schemeClr val="accent2">
        <a:tint val="45000"/>
      </a:schemeClr>
    </dgm:linClrLst>
    <dgm:effectClrLst/>
    <dgm:txLinClrLst/>
    <dgm:txFillClrLst/>
    <dgm:txEffectClrLst/>
  </dgm:styleLbl>
  <dgm:styleLbl name="lnNode1">
    <dgm:fillClrLst meth="cycle">
      <a:schemeClr val="accent2">
        <a:shade val="50000"/>
      </a:schemeClr>
      <a:schemeClr val="accent2">
        <a:tint val="4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2">
        <a:shade val="80000"/>
        <a:alpha val="50000"/>
      </a:schemeClr>
      <a:schemeClr val="accent2">
        <a:tint val="45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2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2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2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2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2">
        <a:shade val="90000"/>
      </a:schemeClr>
      <a:schemeClr val="accent2">
        <a:tint val="50000"/>
      </a:schemeClr>
    </dgm:fillClrLst>
    <dgm:linClrLst meth="cycle">
      <a:schemeClr val="accent2">
        <a:shade val="90000"/>
      </a:schemeClr>
      <a:schemeClr val="accent2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2">
        <a:shade val="90000"/>
      </a:schemeClr>
      <a:schemeClr val="accent2">
        <a:tint val="50000"/>
      </a:schemeClr>
    </dgm:fillClrLst>
    <dgm:linClrLst meth="cycle">
      <a:schemeClr val="accent2">
        <a:shade val="90000"/>
      </a:schemeClr>
      <a:schemeClr val="accent2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2">
        <a:shade val="90000"/>
      </a:schemeClr>
      <a:schemeClr val="accent2">
        <a:tint val="50000"/>
      </a:schemeClr>
    </dgm:fillClrLst>
    <dgm:linClrLst meth="cycle">
      <a:schemeClr val="accent2">
        <a:shade val="90000"/>
      </a:schemeClr>
      <a:schemeClr val="accent2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2">
        <a:shade val="90000"/>
      </a:schemeClr>
      <a:schemeClr val="accent2">
        <a:tint val="50000"/>
      </a:schemeClr>
    </dgm:fillClrLst>
    <dgm:linClrLst meth="cycle">
      <a:schemeClr val="accent2">
        <a:shade val="90000"/>
      </a:schemeClr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2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>
        <a:tint val="60000"/>
      </a:schemeClr>
    </dgm:fillClrLst>
    <dgm:linClrLst meth="repeat">
      <a:schemeClr val="accent2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2">
        <a:tint val="90000"/>
      </a:schemeClr>
    </dgm:fillClrLst>
    <dgm:linClrLst meth="repeat">
      <a:schemeClr val="accent2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2">
        <a:tint val="70000"/>
      </a:schemeClr>
    </dgm:fillClrLst>
    <dgm:linClrLst meth="repeat">
      <a:schemeClr val="accent2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2">
        <a:tint val="5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2">
        <a:shade val="80000"/>
      </a:schemeClr>
    </dgm:fillClrLst>
    <dgm:linClrLst meth="repeat">
      <a:schemeClr val="accent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2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2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2">
        <a:shade val="50000"/>
      </a:schemeClr>
      <a:schemeClr val="accent2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2">
        <a:shade val="50000"/>
      </a:schemeClr>
      <a:schemeClr val="accent2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2">
        <a:shade val="50000"/>
      </a:schemeClr>
      <a:schemeClr val="accent2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2">
        <a:shade val="50000"/>
      </a:schemeClr>
      <a:schemeClr val="accent2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2">
        <a:shade val="50000"/>
      </a:schemeClr>
      <a:schemeClr val="accent2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alpha val="90000"/>
        <a:tint val="55000"/>
      </a:schemeClr>
    </dgm:fillClrLst>
    <dgm:linClrLst meth="repeat">
      <a:schemeClr val="accent2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alpha val="90000"/>
        <a:tint val="55000"/>
      </a:schemeClr>
    </dgm:fillClrLst>
    <dgm:linClrLst meth="repeat">
      <a:schemeClr val="accent2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2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2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2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2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55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6_4">
  <dgm:title val=""/>
  <dgm:desc val=""/>
  <dgm:catLst>
    <dgm:cat type="accent6" pri="11400"/>
  </dgm:catLst>
  <dgm:styleLbl name="node0">
    <dgm:fillClrLst meth="cycle">
      <a:schemeClr val="accent6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6">
        <a:shade val="50000"/>
      </a:schemeClr>
      <a:schemeClr val="accent6">
        <a:tint val="55000"/>
      </a:schemeClr>
    </dgm:fillClrLst>
    <dgm:linClrLst meth="cycle">
      <a:schemeClr val="accent6">
        <a:shade val="50000"/>
      </a:schemeClr>
      <a:schemeClr val="accent6">
        <a:tint val="55000"/>
      </a:schemeClr>
    </dgm:linClrLst>
    <dgm:effectClrLst/>
    <dgm:txLinClrLst/>
    <dgm:txFillClrLst/>
    <dgm:txEffectClrLst/>
  </dgm:styleLbl>
  <dgm:styleLbl name="node1">
    <dgm:fillClrLst meth="cycle">
      <a:schemeClr val="accent6">
        <a:shade val="50000"/>
      </a:schemeClr>
      <a:schemeClr val="accent6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cycle">
      <a:schemeClr val="accent6">
        <a:shade val="50000"/>
      </a:schemeClr>
      <a:schemeClr val="accent6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6">
        <a:shade val="80000"/>
        <a:alpha val="50000"/>
      </a:schemeClr>
      <a:schemeClr val="accent6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6">
        <a:tint val="50000"/>
      </a:schemeClr>
      <a:schemeClr val="accent6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6">
        <a:tint val="50000"/>
      </a:schemeClr>
      <a:schemeClr val="accent6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6">
        <a:tint val="50000"/>
      </a:schemeClr>
      <a:schemeClr val="accent6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6">
        <a:shade val="90000"/>
      </a:schemeClr>
      <a:schemeClr val="accent6">
        <a:tint val="50000"/>
      </a:schemeClr>
    </dgm:fillClrLst>
    <dgm:linClrLst meth="cycle">
      <a:schemeClr val="accent6">
        <a:shade val="90000"/>
      </a:schemeClr>
      <a:schemeClr val="accent6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6">
        <a:shade val="90000"/>
      </a:schemeClr>
      <a:schemeClr val="accent6">
        <a:tint val="50000"/>
      </a:schemeClr>
    </dgm:fillClrLst>
    <dgm:linClrLst meth="cycle">
      <a:schemeClr val="accent6">
        <a:shade val="90000"/>
      </a:schemeClr>
      <a:schemeClr val="accent6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6">
        <a:shade val="90000"/>
      </a:schemeClr>
      <a:schemeClr val="accent6">
        <a:tint val="50000"/>
      </a:schemeClr>
    </dgm:fillClrLst>
    <dgm:linClrLst meth="cycle">
      <a:schemeClr val="accent6">
        <a:shade val="90000"/>
      </a:schemeClr>
      <a:schemeClr val="accent6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6">
        <a:shade val="90000"/>
      </a:schemeClr>
      <a:schemeClr val="accent6">
        <a:tint val="50000"/>
      </a:schemeClr>
    </dgm:fillClrLst>
    <dgm:linClrLst meth="cycle">
      <a:schemeClr val="accent6">
        <a:shade val="90000"/>
      </a:schemeClr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6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6">
        <a:tint val="90000"/>
      </a:schemeClr>
    </dgm:fillClrLst>
    <dgm:linClrLst meth="repeat">
      <a:schemeClr val="accent6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6">
        <a:tint val="70000"/>
      </a:schemeClr>
    </dgm:fillClrLst>
    <dgm:linClrLst meth="repeat">
      <a:schemeClr val="accent6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6">
        <a:tint val="50000"/>
      </a:schemeClr>
    </dgm:fillClrLst>
    <dgm:linClrLst meth="repeat">
      <a:schemeClr val="accent6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6">
        <a:shade val="80000"/>
      </a:schemeClr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6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6">
        <a:shade val="50000"/>
      </a:schemeClr>
      <a:schemeClr val="accent6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6">
        <a:shade val="50000"/>
      </a:schemeClr>
      <a:schemeClr val="accent6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6">
        <a:shade val="50000"/>
      </a:schemeClr>
      <a:schemeClr val="accent6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6">
        <a:shade val="50000"/>
      </a:schemeClr>
      <a:schemeClr val="accent6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6">
        <a:shade val="50000"/>
      </a:schemeClr>
      <a:schemeClr val="accent6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55000"/>
      </a:schemeClr>
    </dgm:fillClrLst>
    <dgm:linClrLst meth="repeat">
      <a:schemeClr val="accent6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55000"/>
      </a:schemeClr>
    </dgm:fillClrLst>
    <dgm:linClrLst meth="repeat">
      <a:schemeClr val="accent6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55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4_4">
  <dgm:title val=""/>
  <dgm:desc val=""/>
  <dgm:catLst>
    <dgm:cat type="accent4" pri="11400"/>
  </dgm:catLst>
  <dgm:styleLbl name="node0">
    <dgm:fillClrLst meth="cycle">
      <a:schemeClr val="accent4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4">
        <a:shade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4">
        <a:shade val="50000"/>
      </a:schemeClr>
      <a:schemeClr val="accent4">
        <a:tint val="55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4">
        <a:shade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4">
        <a:shade val="80000"/>
        <a:alpha val="50000"/>
      </a:schemeClr>
      <a:schemeClr val="accent4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4">
        <a:shade val="90000"/>
      </a:schemeClr>
      <a:schemeClr val="accent4">
        <a:tint val="50000"/>
      </a:schemeClr>
    </dgm:fillClrLst>
    <dgm:linClrLst meth="cycle">
      <a:schemeClr val="accent4">
        <a:shade val="90000"/>
      </a:schemeClr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4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4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4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>
        <a:tint val="60000"/>
      </a:schemeClr>
    </dgm:fillClrLst>
    <dgm:linClrLst meth="repeat">
      <a:schemeClr val="accent4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4">
        <a:tint val="90000"/>
      </a:schemeClr>
    </dgm:fillClrLst>
    <dgm:linClrLst meth="repeat">
      <a:schemeClr val="accent4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4">
        <a:tint val="70000"/>
      </a:schemeClr>
    </dgm:fillClrLst>
    <dgm:linClrLst meth="repeat">
      <a:schemeClr val="accent4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4">
        <a:tint val="5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4">
        <a:shade val="8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4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4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4">
        <a:shade val="50000"/>
      </a:schemeClr>
      <a:schemeClr val="accent4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4">
        <a:alpha val="90000"/>
        <a:tint val="55000"/>
      </a:schemeClr>
    </dgm:fillClrLst>
    <dgm:linClrLst meth="repeat">
      <a:schemeClr val="accent4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4">
        <a:alpha val="90000"/>
        <a:tint val="55000"/>
      </a:schemeClr>
    </dgm:fillClrLst>
    <dgm:linClrLst meth="repeat">
      <a:schemeClr val="accent4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4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4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4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4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55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449D127-9178-43F5-B7E7-C0194826A709}" type="doc">
      <dgm:prSet loTypeId="urn:microsoft.com/office/officeart/2005/8/layout/venn1" loCatId="relationship" qsTypeId="urn:microsoft.com/office/officeart/2005/8/quickstyle/simple4" qsCatId="simple" csTypeId="urn:microsoft.com/office/officeart/2005/8/colors/accent1_3" csCatId="accent1" phldr="1"/>
      <dgm:spPr/>
    </dgm:pt>
    <dgm:pt modelId="{4F668362-705D-4D27-B5E8-860DEE5ED87B}">
      <dgm:prSet phldrT="[Texto]" custT="1"/>
      <dgm:spPr>
        <a:ln>
          <a:solidFill>
            <a:sysClr val="windowText" lastClr="000000"/>
          </a:solidFill>
        </a:ln>
      </dgm:spPr>
      <dgm:t>
        <a:bodyPr/>
        <a:lstStyle/>
        <a:p>
          <a:r>
            <a:rPr lang="es-ES" sz="3600"/>
            <a:t>206</a:t>
          </a:r>
        </a:p>
      </dgm:t>
    </dgm:pt>
    <dgm:pt modelId="{84DD6257-E135-4009-AB26-C8485213AE07}" type="parTrans" cxnId="{D159F59B-90F3-4699-BE3C-EDFB2A5C1D8A}">
      <dgm:prSet/>
      <dgm:spPr/>
      <dgm:t>
        <a:bodyPr/>
        <a:lstStyle/>
        <a:p>
          <a:endParaRPr lang="es-ES"/>
        </a:p>
      </dgm:t>
    </dgm:pt>
    <dgm:pt modelId="{AF176721-523A-42C7-8362-A8DFD1A373B3}" type="sibTrans" cxnId="{D159F59B-90F3-4699-BE3C-EDFB2A5C1D8A}">
      <dgm:prSet/>
      <dgm:spPr/>
      <dgm:t>
        <a:bodyPr/>
        <a:lstStyle/>
        <a:p>
          <a:endParaRPr lang="es-ES"/>
        </a:p>
      </dgm:t>
    </dgm:pt>
    <dgm:pt modelId="{7FDA625D-C8E0-40D0-BE85-BACF0B2AB5B2}">
      <dgm:prSet phldrT="[Texto]" custT="1"/>
      <dgm:spPr>
        <a:ln>
          <a:solidFill>
            <a:sysClr val="windowText" lastClr="000000"/>
          </a:solidFill>
        </a:ln>
      </dgm:spPr>
      <dgm:t>
        <a:bodyPr/>
        <a:lstStyle/>
        <a:p>
          <a:r>
            <a:rPr lang="es-ES" sz="1800"/>
            <a:t>26</a:t>
          </a:r>
        </a:p>
      </dgm:t>
    </dgm:pt>
    <dgm:pt modelId="{B71B8E71-91CB-4439-B38B-CCBB4511F678}" type="parTrans" cxnId="{B26E3099-C88A-4A0E-8E72-9AD89C6BC672}">
      <dgm:prSet/>
      <dgm:spPr/>
      <dgm:t>
        <a:bodyPr/>
        <a:lstStyle/>
        <a:p>
          <a:endParaRPr lang="es-ES"/>
        </a:p>
      </dgm:t>
    </dgm:pt>
    <dgm:pt modelId="{8965DFAE-31EB-41CC-8BAD-7FEE2C98E3C3}" type="sibTrans" cxnId="{B26E3099-C88A-4A0E-8E72-9AD89C6BC672}">
      <dgm:prSet/>
      <dgm:spPr/>
      <dgm:t>
        <a:bodyPr/>
        <a:lstStyle/>
        <a:p>
          <a:endParaRPr lang="es-ES"/>
        </a:p>
      </dgm:t>
    </dgm:pt>
    <dgm:pt modelId="{B794E096-51B0-491D-B4B1-51D9801DEFD8}" type="pres">
      <dgm:prSet presAssocID="{1449D127-9178-43F5-B7E7-C0194826A709}" presName="compositeShape" presStyleCnt="0">
        <dgm:presLayoutVars>
          <dgm:chMax val="7"/>
          <dgm:dir/>
          <dgm:resizeHandles val="exact"/>
        </dgm:presLayoutVars>
      </dgm:prSet>
      <dgm:spPr/>
    </dgm:pt>
    <dgm:pt modelId="{2C140001-6750-45DA-9611-44FB562ABF8A}" type="pres">
      <dgm:prSet presAssocID="{4F668362-705D-4D27-B5E8-860DEE5ED87B}" presName="circ1" presStyleLbl="vennNode1" presStyleIdx="0" presStyleCnt="2"/>
      <dgm:spPr/>
    </dgm:pt>
    <dgm:pt modelId="{6B981B79-B316-4416-91C3-74394D477AC3}" type="pres">
      <dgm:prSet presAssocID="{4F668362-705D-4D27-B5E8-860DEE5ED87B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763A0481-B898-4A2B-860F-001E1B873754}" type="pres">
      <dgm:prSet presAssocID="{7FDA625D-C8E0-40D0-BE85-BACF0B2AB5B2}" presName="circ2" presStyleLbl="vennNode1" presStyleIdx="1" presStyleCnt="2"/>
      <dgm:spPr/>
    </dgm:pt>
    <dgm:pt modelId="{632CE823-CC80-4CDE-AD07-8B3656FC6747}" type="pres">
      <dgm:prSet presAssocID="{7FDA625D-C8E0-40D0-BE85-BACF0B2AB5B2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E2718D20-6153-424A-B683-2235EC4966DB}" type="presOf" srcId="{7FDA625D-C8E0-40D0-BE85-BACF0B2AB5B2}" destId="{632CE823-CC80-4CDE-AD07-8B3656FC6747}" srcOrd="1" destOrd="0" presId="urn:microsoft.com/office/officeart/2005/8/layout/venn1"/>
    <dgm:cxn modelId="{9C533979-DB15-4844-8111-697F3339E196}" type="presOf" srcId="{1449D127-9178-43F5-B7E7-C0194826A709}" destId="{B794E096-51B0-491D-B4B1-51D9801DEFD8}" srcOrd="0" destOrd="0" presId="urn:microsoft.com/office/officeart/2005/8/layout/venn1"/>
    <dgm:cxn modelId="{3960AD82-3C76-4897-A4A6-E17146598B13}" type="presOf" srcId="{4F668362-705D-4D27-B5E8-860DEE5ED87B}" destId="{2C140001-6750-45DA-9611-44FB562ABF8A}" srcOrd="0" destOrd="0" presId="urn:microsoft.com/office/officeart/2005/8/layout/venn1"/>
    <dgm:cxn modelId="{B26E3099-C88A-4A0E-8E72-9AD89C6BC672}" srcId="{1449D127-9178-43F5-B7E7-C0194826A709}" destId="{7FDA625D-C8E0-40D0-BE85-BACF0B2AB5B2}" srcOrd="1" destOrd="0" parTransId="{B71B8E71-91CB-4439-B38B-CCBB4511F678}" sibTransId="{8965DFAE-31EB-41CC-8BAD-7FEE2C98E3C3}"/>
    <dgm:cxn modelId="{D159F59B-90F3-4699-BE3C-EDFB2A5C1D8A}" srcId="{1449D127-9178-43F5-B7E7-C0194826A709}" destId="{4F668362-705D-4D27-B5E8-860DEE5ED87B}" srcOrd="0" destOrd="0" parTransId="{84DD6257-E135-4009-AB26-C8485213AE07}" sibTransId="{AF176721-523A-42C7-8362-A8DFD1A373B3}"/>
    <dgm:cxn modelId="{8A1023A9-926C-46BC-AB88-641A482B2756}" type="presOf" srcId="{7FDA625D-C8E0-40D0-BE85-BACF0B2AB5B2}" destId="{763A0481-B898-4A2B-860F-001E1B873754}" srcOrd="0" destOrd="0" presId="urn:microsoft.com/office/officeart/2005/8/layout/venn1"/>
    <dgm:cxn modelId="{5D1CA9DC-FF1A-4ACF-A38D-8B19303AC081}" type="presOf" srcId="{4F668362-705D-4D27-B5E8-860DEE5ED87B}" destId="{6B981B79-B316-4416-91C3-74394D477AC3}" srcOrd="1" destOrd="0" presId="urn:microsoft.com/office/officeart/2005/8/layout/venn1"/>
    <dgm:cxn modelId="{36DD98E2-F767-4ED1-BA65-7F038E0752A8}" type="presParOf" srcId="{B794E096-51B0-491D-B4B1-51D9801DEFD8}" destId="{2C140001-6750-45DA-9611-44FB562ABF8A}" srcOrd="0" destOrd="0" presId="urn:microsoft.com/office/officeart/2005/8/layout/venn1"/>
    <dgm:cxn modelId="{514A8BC6-E20D-46F9-AE89-58D9F99CED08}" type="presParOf" srcId="{B794E096-51B0-491D-B4B1-51D9801DEFD8}" destId="{6B981B79-B316-4416-91C3-74394D477AC3}" srcOrd="1" destOrd="0" presId="urn:microsoft.com/office/officeart/2005/8/layout/venn1"/>
    <dgm:cxn modelId="{F626224A-C6F4-4A84-B737-CDFA9FA70754}" type="presParOf" srcId="{B794E096-51B0-491D-B4B1-51D9801DEFD8}" destId="{763A0481-B898-4A2B-860F-001E1B873754}" srcOrd="2" destOrd="0" presId="urn:microsoft.com/office/officeart/2005/8/layout/venn1"/>
    <dgm:cxn modelId="{B1C66510-FBB6-4336-A20E-B3D53AE1029D}" type="presParOf" srcId="{B794E096-51B0-491D-B4B1-51D9801DEFD8}" destId="{632CE823-CC80-4CDE-AD07-8B3656FC6747}" srcOrd="3" destOrd="0" presId="urn:microsoft.com/office/officeart/2005/8/layout/venn1"/>
  </dgm:cxnLst>
  <dgm:bg/>
  <dgm:whole>
    <a:ln w="9525" cap="flat" cmpd="sng" algn="ctr">
      <a:noFill/>
      <a:prstDash val="solid"/>
      <a:round/>
      <a:headEnd type="none" w="med" len="med"/>
      <a:tailEnd type="none" w="med" len="med"/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449D127-9178-43F5-B7E7-C0194826A709}" type="doc">
      <dgm:prSet loTypeId="urn:microsoft.com/office/officeart/2005/8/layout/venn1" loCatId="relationship" qsTypeId="urn:microsoft.com/office/officeart/2005/8/quickstyle/simple1" qsCatId="simple" csTypeId="urn:microsoft.com/office/officeart/2005/8/colors/accent2_4" csCatId="accent2" phldr="1"/>
      <dgm:spPr/>
    </dgm:pt>
    <dgm:pt modelId="{4F668362-705D-4D27-B5E8-860DEE5ED87B}">
      <dgm:prSet phldrT="[Texto]" custT="1"/>
      <dgm:spPr>
        <a:ln>
          <a:solidFill>
            <a:sysClr val="windowText" lastClr="000000"/>
          </a:solidFill>
        </a:ln>
      </dgm:spPr>
      <dgm:t>
        <a:bodyPr/>
        <a:lstStyle/>
        <a:p>
          <a:r>
            <a:rPr lang="es-ES" sz="2800"/>
            <a:t>43</a:t>
          </a:r>
        </a:p>
      </dgm:t>
    </dgm:pt>
    <dgm:pt modelId="{84DD6257-E135-4009-AB26-C8485213AE07}" type="parTrans" cxnId="{D159F59B-90F3-4699-BE3C-EDFB2A5C1D8A}">
      <dgm:prSet/>
      <dgm:spPr/>
      <dgm:t>
        <a:bodyPr/>
        <a:lstStyle/>
        <a:p>
          <a:endParaRPr lang="es-ES" sz="800"/>
        </a:p>
      </dgm:t>
    </dgm:pt>
    <dgm:pt modelId="{AF176721-523A-42C7-8362-A8DFD1A373B3}" type="sibTrans" cxnId="{D159F59B-90F3-4699-BE3C-EDFB2A5C1D8A}">
      <dgm:prSet/>
      <dgm:spPr/>
      <dgm:t>
        <a:bodyPr/>
        <a:lstStyle/>
        <a:p>
          <a:endParaRPr lang="es-ES" sz="800"/>
        </a:p>
      </dgm:t>
    </dgm:pt>
    <dgm:pt modelId="{7FDA625D-C8E0-40D0-BE85-BACF0B2AB5B2}">
      <dgm:prSet phldrT="[Texto]" custT="1"/>
      <dgm:spPr>
        <a:ln>
          <a:solidFill>
            <a:sysClr val="windowText" lastClr="000000"/>
          </a:solidFill>
        </a:ln>
      </dgm:spPr>
      <dgm:t>
        <a:bodyPr/>
        <a:lstStyle/>
        <a:p>
          <a:r>
            <a:rPr lang="es-ES" sz="2800"/>
            <a:t>31</a:t>
          </a:r>
        </a:p>
      </dgm:t>
    </dgm:pt>
    <dgm:pt modelId="{B71B8E71-91CB-4439-B38B-CCBB4511F678}" type="parTrans" cxnId="{B26E3099-C88A-4A0E-8E72-9AD89C6BC672}">
      <dgm:prSet/>
      <dgm:spPr/>
      <dgm:t>
        <a:bodyPr/>
        <a:lstStyle/>
        <a:p>
          <a:endParaRPr lang="es-ES" sz="800"/>
        </a:p>
      </dgm:t>
    </dgm:pt>
    <dgm:pt modelId="{8965DFAE-31EB-41CC-8BAD-7FEE2C98E3C3}" type="sibTrans" cxnId="{B26E3099-C88A-4A0E-8E72-9AD89C6BC672}">
      <dgm:prSet/>
      <dgm:spPr/>
      <dgm:t>
        <a:bodyPr/>
        <a:lstStyle/>
        <a:p>
          <a:endParaRPr lang="es-ES" sz="800"/>
        </a:p>
      </dgm:t>
    </dgm:pt>
    <dgm:pt modelId="{B794E096-51B0-491D-B4B1-51D9801DEFD8}" type="pres">
      <dgm:prSet presAssocID="{1449D127-9178-43F5-B7E7-C0194826A709}" presName="compositeShape" presStyleCnt="0">
        <dgm:presLayoutVars>
          <dgm:chMax val="7"/>
          <dgm:dir/>
          <dgm:resizeHandles val="exact"/>
        </dgm:presLayoutVars>
      </dgm:prSet>
      <dgm:spPr/>
    </dgm:pt>
    <dgm:pt modelId="{2C140001-6750-45DA-9611-44FB562ABF8A}" type="pres">
      <dgm:prSet presAssocID="{4F668362-705D-4D27-B5E8-860DEE5ED87B}" presName="circ1" presStyleLbl="vennNode1" presStyleIdx="0" presStyleCnt="2"/>
      <dgm:spPr/>
    </dgm:pt>
    <dgm:pt modelId="{6B981B79-B316-4416-91C3-74394D477AC3}" type="pres">
      <dgm:prSet presAssocID="{4F668362-705D-4D27-B5E8-860DEE5ED87B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763A0481-B898-4A2B-860F-001E1B873754}" type="pres">
      <dgm:prSet presAssocID="{7FDA625D-C8E0-40D0-BE85-BACF0B2AB5B2}" presName="circ2" presStyleLbl="vennNode1" presStyleIdx="1" presStyleCnt="2"/>
      <dgm:spPr/>
    </dgm:pt>
    <dgm:pt modelId="{632CE823-CC80-4CDE-AD07-8B3656FC6747}" type="pres">
      <dgm:prSet presAssocID="{7FDA625D-C8E0-40D0-BE85-BACF0B2AB5B2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32A7610E-741F-4C18-9780-470FEB35C716}" type="presOf" srcId="{4F668362-705D-4D27-B5E8-860DEE5ED87B}" destId="{6B981B79-B316-4416-91C3-74394D477AC3}" srcOrd="1" destOrd="0" presId="urn:microsoft.com/office/officeart/2005/8/layout/venn1"/>
    <dgm:cxn modelId="{98029B40-5330-4C8B-B632-37F856E6DE65}" type="presOf" srcId="{1449D127-9178-43F5-B7E7-C0194826A709}" destId="{B794E096-51B0-491D-B4B1-51D9801DEFD8}" srcOrd="0" destOrd="0" presId="urn:microsoft.com/office/officeart/2005/8/layout/venn1"/>
    <dgm:cxn modelId="{015BA76D-14AA-4D8A-8394-2155A915998B}" type="presOf" srcId="{7FDA625D-C8E0-40D0-BE85-BACF0B2AB5B2}" destId="{632CE823-CC80-4CDE-AD07-8B3656FC6747}" srcOrd="1" destOrd="0" presId="urn:microsoft.com/office/officeart/2005/8/layout/venn1"/>
    <dgm:cxn modelId="{B26E3099-C88A-4A0E-8E72-9AD89C6BC672}" srcId="{1449D127-9178-43F5-B7E7-C0194826A709}" destId="{7FDA625D-C8E0-40D0-BE85-BACF0B2AB5B2}" srcOrd="1" destOrd="0" parTransId="{B71B8E71-91CB-4439-B38B-CCBB4511F678}" sibTransId="{8965DFAE-31EB-41CC-8BAD-7FEE2C98E3C3}"/>
    <dgm:cxn modelId="{D159F59B-90F3-4699-BE3C-EDFB2A5C1D8A}" srcId="{1449D127-9178-43F5-B7E7-C0194826A709}" destId="{4F668362-705D-4D27-B5E8-860DEE5ED87B}" srcOrd="0" destOrd="0" parTransId="{84DD6257-E135-4009-AB26-C8485213AE07}" sibTransId="{AF176721-523A-42C7-8362-A8DFD1A373B3}"/>
    <dgm:cxn modelId="{AA3D76B3-4033-42B4-A909-054A07E8FBE0}" type="presOf" srcId="{7FDA625D-C8E0-40D0-BE85-BACF0B2AB5B2}" destId="{763A0481-B898-4A2B-860F-001E1B873754}" srcOrd="0" destOrd="0" presId="urn:microsoft.com/office/officeart/2005/8/layout/venn1"/>
    <dgm:cxn modelId="{483D9EFB-67B9-4429-BF57-DE45F7CF02A3}" type="presOf" srcId="{4F668362-705D-4D27-B5E8-860DEE5ED87B}" destId="{2C140001-6750-45DA-9611-44FB562ABF8A}" srcOrd="0" destOrd="0" presId="urn:microsoft.com/office/officeart/2005/8/layout/venn1"/>
    <dgm:cxn modelId="{9A5FA4AE-FCE4-4B68-BED7-7C676D57FE33}" type="presParOf" srcId="{B794E096-51B0-491D-B4B1-51D9801DEFD8}" destId="{2C140001-6750-45DA-9611-44FB562ABF8A}" srcOrd="0" destOrd="0" presId="urn:microsoft.com/office/officeart/2005/8/layout/venn1"/>
    <dgm:cxn modelId="{6E18B550-68AD-4FF2-93AA-3F416F9BEB30}" type="presParOf" srcId="{B794E096-51B0-491D-B4B1-51D9801DEFD8}" destId="{6B981B79-B316-4416-91C3-74394D477AC3}" srcOrd="1" destOrd="0" presId="urn:microsoft.com/office/officeart/2005/8/layout/venn1"/>
    <dgm:cxn modelId="{76F591A5-9F4C-4537-8FFB-39C752D9AA69}" type="presParOf" srcId="{B794E096-51B0-491D-B4B1-51D9801DEFD8}" destId="{763A0481-B898-4A2B-860F-001E1B873754}" srcOrd="2" destOrd="0" presId="urn:microsoft.com/office/officeart/2005/8/layout/venn1"/>
    <dgm:cxn modelId="{1792FB64-ED02-4833-AE67-6E8E8C12687A}" type="presParOf" srcId="{B794E096-51B0-491D-B4B1-51D9801DEFD8}" destId="{632CE823-CC80-4CDE-AD07-8B3656FC6747}" srcOrd="3" destOrd="0" presId="urn:microsoft.com/office/officeart/2005/8/layout/venn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1449D127-9178-43F5-B7E7-C0194826A709}" type="doc">
      <dgm:prSet loTypeId="urn:microsoft.com/office/officeart/2005/8/layout/venn1" loCatId="relationship" qsTypeId="urn:microsoft.com/office/officeart/2005/8/quickstyle/simple4" qsCatId="simple" csTypeId="urn:microsoft.com/office/officeart/2005/8/colors/accent6_4" csCatId="accent6" phldr="1"/>
      <dgm:spPr/>
    </dgm:pt>
    <dgm:pt modelId="{4F668362-705D-4D27-B5E8-860DEE5ED87B}">
      <dgm:prSet phldrT="[Texto]" custT="1"/>
      <dgm:spPr>
        <a:ln>
          <a:solidFill>
            <a:schemeClr val="tx1"/>
          </a:solidFill>
        </a:ln>
      </dgm:spPr>
      <dgm:t>
        <a:bodyPr/>
        <a:lstStyle/>
        <a:p>
          <a:r>
            <a:rPr lang="es-ES" sz="3600"/>
            <a:t>241</a:t>
          </a:r>
        </a:p>
      </dgm:t>
    </dgm:pt>
    <dgm:pt modelId="{84DD6257-E135-4009-AB26-C8485213AE07}" type="parTrans" cxnId="{D159F59B-90F3-4699-BE3C-EDFB2A5C1D8A}">
      <dgm:prSet/>
      <dgm:spPr/>
      <dgm:t>
        <a:bodyPr/>
        <a:lstStyle/>
        <a:p>
          <a:endParaRPr lang="es-ES"/>
        </a:p>
      </dgm:t>
    </dgm:pt>
    <dgm:pt modelId="{AF176721-523A-42C7-8362-A8DFD1A373B3}" type="sibTrans" cxnId="{D159F59B-90F3-4699-BE3C-EDFB2A5C1D8A}">
      <dgm:prSet/>
      <dgm:spPr/>
      <dgm:t>
        <a:bodyPr/>
        <a:lstStyle/>
        <a:p>
          <a:endParaRPr lang="es-ES"/>
        </a:p>
      </dgm:t>
    </dgm:pt>
    <dgm:pt modelId="{7FDA625D-C8E0-40D0-BE85-BACF0B2AB5B2}">
      <dgm:prSet phldrT="[Texto]" custT="1"/>
      <dgm:spPr>
        <a:ln>
          <a:solidFill>
            <a:sysClr val="windowText" lastClr="000000"/>
          </a:solidFill>
        </a:ln>
      </dgm:spPr>
      <dgm:t>
        <a:bodyPr/>
        <a:lstStyle/>
        <a:p>
          <a:r>
            <a:rPr lang="es-ES" sz="1800"/>
            <a:t>25</a:t>
          </a:r>
        </a:p>
      </dgm:t>
    </dgm:pt>
    <dgm:pt modelId="{B71B8E71-91CB-4439-B38B-CCBB4511F678}" type="parTrans" cxnId="{B26E3099-C88A-4A0E-8E72-9AD89C6BC672}">
      <dgm:prSet/>
      <dgm:spPr/>
      <dgm:t>
        <a:bodyPr/>
        <a:lstStyle/>
        <a:p>
          <a:endParaRPr lang="es-ES"/>
        </a:p>
      </dgm:t>
    </dgm:pt>
    <dgm:pt modelId="{8965DFAE-31EB-41CC-8BAD-7FEE2C98E3C3}" type="sibTrans" cxnId="{B26E3099-C88A-4A0E-8E72-9AD89C6BC672}">
      <dgm:prSet/>
      <dgm:spPr/>
      <dgm:t>
        <a:bodyPr/>
        <a:lstStyle/>
        <a:p>
          <a:endParaRPr lang="es-ES"/>
        </a:p>
      </dgm:t>
    </dgm:pt>
    <dgm:pt modelId="{B794E096-51B0-491D-B4B1-51D9801DEFD8}" type="pres">
      <dgm:prSet presAssocID="{1449D127-9178-43F5-B7E7-C0194826A709}" presName="compositeShape" presStyleCnt="0">
        <dgm:presLayoutVars>
          <dgm:chMax val="7"/>
          <dgm:dir/>
          <dgm:resizeHandles val="exact"/>
        </dgm:presLayoutVars>
      </dgm:prSet>
      <dgm:spPr/>
    </dgm:pt>
    <dgm:pt modelId="{2C140001-6750-45DA-9611-44FB562ABF8A}" type="pres">
      <dgm:prSet presAssocID="{4F668362-705D-4D27-B5E8-860DEE5ED87B}" presName="circ1" presStyleLbl="vennNode1" presStyleIdx="0" presStyleCnt="2"/>
      <dgm:spPr/>
    </dgm:pt>
    <dgm:pt modelId="{6B981B79-B316-4416-91C3-74394D477AC3}" type="pres">
      <dgm:prSet presAssocID="{4F668362-705D-4D27-B5E8-860DEE5ED87B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763A0481-B898-4A2B-860F-001E1B873754}" type="pres">
      <dgm:prSet presAssocID="{7FDA625D-C8E0-40D0-BE85-BACF0B2AB5B2}" presName="circ2" presStyleLbl="vennNode1" presStyleIdx="1" presStyleCnt="2"/>
      <dgm:spPr/>
    </dgm:pt>
    <dgm:pt modelId="{632CE823-CC80-4CDE-AD07-8B3656FC6747}" type="pres">
      <dgm:prSet presAssocID="{7FDA625D-C8E0-40D0-BE85-BACF0B2AB5B2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A4B70914-CC00-47C1-AC18-8F4632FFD4B9}" type="presOf" srcId="{1449D127-9178-43F5-B7E7-C0194826A709}" destId="{B794E096-51B0-491D-B4B1-51D9801DEFD8}" srcOrd="0" destOrd="0" presId="urn:microsoft.com/office/officeart/2005/8/layout/venn1"/>
    <dgm:cxn modelId="{5C60653B-3F42-4415-930A-C4C644BE2075}" type="presOf" srcId="{7FDA625D-C8E0-40D0-BE85-BACF0B2AB5B2}" destId="{763A0481-B898-4A2B-860F-001E1B873754}" srcOrd="0" destOrd="0" presId="urn:microsoft.com/office/officeart/2005/8/layout/venn1"/>
    <dgm:cxn modelId="{D6A56E5C-E846-449E-8B48-6FF0EAFE7E5C}" type="presOf" srcId="{4F668362-705D-4D27-B5E8-860DEE5ED87B}" destId="{6B981B79-B316-4416-91C3-74394D477AC3}" srcOrd="1" destOrd="0" presId="urn:microsoft.com/office/officeart/2005/8/layout/venn1"/>
    <dgm:cxn modelId="{B26E3099-C88A-4A0E-8E72-9AD89C6BC672}" srcId="{1449D127-9178-43F5-B7E7-C0194826A709}" destId="{7FDA625D-C8E0-40D0-BE85-BACF0B2AB5B2}" srcOrd="1" destOrd="0" parTransId="{B71B8E71-91CB-4439-B38B-CCBB4511F678}" sibTransId="{8965DFAE-31EB-41CC-8BAD-7FEE2C98E3C3}"/>
    <dgm:cxn modelId="{D159F59B-90F3-4699-BE3C-EDFB2A5C1D8A}" srcId="{1449D127-9178-43F5-B7E7-C0194826A709}" destId="{4F668362-705D-4D27-B5E8-860DEE5ED87B}" srcOrd="0" destOrd="0" parTransId="{84DD6257-E135-4009-AB26-C8485213AE07}" sibTransId="{AF176721-523A-42C7-8362-A8DFD1A373B3}"/>
    <dgm:cxn modelId="{CF3318C9-BA61-487B-A461-E9E94DA3ADDD}" type="presOf" srcId="{7FDA625D-C8E0-40D0-BE85-BACF0B2AB5B2}" destId="{632CE823-CC80-4CDE-AD07-8B3656FC6747}" srcOrd="1" destOrd="0" presId="urn:microsoft.com/office/officeart/2005/8/layout/venn1"/>
    <dgm:cxn modelId="{F4D7FAF6-C082-4E1D-B4F0-C97FAE5627BF}" type="presOf" srcId="{4F668362-705D-4D27-B5E8-860DEE5ED87B}" destId="{2C140001-6750-45DA-9611-44FB562ABF8A}" srcOrd="0" destOrd="0" presId="urn:microsoft.com/office/officeart/2005/8/layout/venn1"/>
    <dgm:cxn modelId="{141A5D72-4689-423B-A2C7-0D7E50698D4B}" type="presParOf" srcId="{B794E096-51B0-491D-B4B1-51D9801DEFD8}" destId="{2C140001-6750-45DA-9611-44FB562ABF8A}" srcOrd="0" destOrd="0" presId="urn:microsoft.com/office/officeart/2005/8/layout/venn1"/>
    <dgm:cxn modelId="{1EF4BB0C-8A90-48AB-A650-766751D87206}" type="presParOf" srcId="{B794E096-51B0-491D-B4B1-51D9801DEFD8}" destId="{6B981B79-B316-4416-91C3-74394D477AC3}" srcOrd="1" destOrd="0" presId="urn:microsoft.com/office/officeart/2005/8/layout/venn1"/>
    <dgm:cxn modelId="{28C9E863-CB77-4B61-A271-1500231A5CF1}" type="presParOf" srcId="{B794E096-51B0-491D-B4B1-51D9801DEFD8}" destId="{763A0481-B898-4A2B-860F-001E1B873754}" srcOrd="2" destOrd="0" presId="urn:microsoft.com/office/officeart/2005/8/layout/venn1"/>
    <dgm:cxn modelId="{530B3857-BCD0-4485-A486-478B6976E68E}" type="presParOf" srcId="{B794E096-51B0-491D-B4B1-51D9801DEFD8}" destId="{632CE823-CC80-4CDE-AD07-8B3656FC6747}" srcOrd="3" destOrd="0" presId="urn:microsoft.com/office/officeart/2005/8/layout/venn1"/>
  </dgm:cxnLst>
  <dgm:bg/>
  <dgm:whole>
    <a:ln w="9525" cap="flat" cmpd="sng" algn="ctr">
      <a:noFill/>
      <a:prstDash val="solid"/>
      <a:round/>
      <a:headEnd type="none" w="med" len="med"/>
      <a:tailEnd type="none" w="med" len="med"/>
    </a:ln>
  </dgm:whole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1449D127-9178-43F5-B7E7-C0194826A709}" type="doc">
      <dgm:prSet loTypeId="urn:microsoft.com/office/officeart/2005/8/layout/venn1" loCatId="relationship" qsTypeId="urn:microsoft.com/office/officeart/2005/8/quickstyle/simple1" qsCatId="simple" csTypeId="urn:microsoft.com/office/officeart/2005/8/colors/accent4_4" csCatId="accent4" phldr="1"/>
      <dgm:spPr/>
    </dgm:pt>
    <dgm:pt modelId="{4F668362-705D-4D27-B5E8-860DEE5ED87B}">
      <dgm:prSet phldrT="[Texto]" custT="1"/>
      <dgm:spPr>
        <a:ln>
          <a:solidFill>
            <a:schemeClr val="tx1"/>
          </a:solidFill>
        </a:ln>
      </dgm:spPr>
      <dgm:t>
        <a:bodyPr/>
        <a:lstStyle/>
        <a:p>
          <a:r>
            <a:rPr lang="es-ES" sz="2800"/>
            <a:t>54</a:t>
          </a:r>
        </a:p>
      </dgm:t>
    </dgm:pt>
    <dgm:pt modelId="{84DD6257-E135-4009-AB26-C8485213AE07}" type="parTrans" cxnId="{D159F59B-90F3-4699-BE3C-EDFB2A5C1D8A}">
      <dgm:prSet/>
      <dgm:spPr/>
      <dgm:t>
        <a:bodyPr/>
        <a:lstStyle/>
        <a:p>
          <a:endParaRPr lang="es-ES" sz="800"/>
        </a:p>
      </dgm:t>
    </dgm:pt>
    <dgm:pt modelId="{AF176721-523A-42C7-8362-A8DFD1A373B3}" type="sibTrans" cxnId="{D159F59B-90F3-4699-BE3C-EDFB2A5C1D8A}">
      <dgm:prSet/>
      <dgm:spPr/>
      <dgm:t>
        <a:bodyPr/>
        <a:lstStyle/>
        <a:p>
          <a:endParaRPr lang="es-ES" sz="800"/>
        </a:p>
      </dgm:t>
    </dgm:pt>
    <dgm:pt modelId="{7FDA625D-C8E0-40D0-BE85-BACF0B2AB5B2}">
      <dgm:prSet phldrT="[Texto]" custT="1"/>
      <dgm:spPr>
        <a:ln>
          <a:solidFill>
            <a:schemeClr val="tx1"/>
          </a:solidFill>
        </a:ln>
      </dgm:spPr>
      <dgm:t>
        <a:bodyPr/>
        <a:lstStyle/>
        <a:p>
          <a:r>
            <a:rPr lang="es-ES" sz="3200"/>
            <a:t>75</a:t>
          </a:r>
        </a:p>
      </dgm:t>
    </dgm:pt>
    <dgm:pt modelId="{B71B8E71-91CB-4439-B38B-CCBB4511F678}" type="parTrans" cxnId="{B26E3099-C88A-4A0E-8E72-9AD89C6BC672}">
      <dgm:prSet/>
      <dgm:spPr/>
      <dgm:t>
        <a:bodyPr/>
        <a:lstStyle/>
        <a:p>
          <a:endParaRPr lang="es-ES" sz="800"/>
        </a:p>
      </dgm:t>
    </dgm:pt>
    <dgm:pt modelId="{8965DFAE-31EB-41CC-8BAD-7FEE2C98E3C3}" type="sibTrans" cxnId="{B26E3099-C88A-4A0E-8E72-9AD89C6BC672}">
      <dgm:prSet/>
      <dgm:spPr/>
      <dgm:t>
        <a:bodyPr/>
        <a:lstStyle/>
        <a:p>
          <a:endParaRPr lang="es-ES" sz="800"/>
        </a:p>
      </dgm:t>
    </dgm:pt>
    <dgm:pt modelId="{B794E096-51B0-491D-B4B1-51D9801DEFD8}" type="pres">
      <dgm:prSet presAssocID="{1449D127-9178-43F5-B7E7-C0194826A709}" presName="compositeShape" presStyleCnt="0">
        <dgm:presLayoutVars>
          <dgm:chMax val="7"/>
          <dgm:dir/>
          <dgm:resizeHandles val="exact"/>
        </dgm:presLayoutVars>
      </dgm:prSet>
      <dgm:spPr/>
    </dgm:pt>
    <dgm:pt modelId="{2C140001-6750-45DA-9611-44FB562ABF8A}" type="pres">
      <dgm:prSet presAssocID="{4F668362-705D-4D27-B5E8-860DEE5ED87B}" presName="circ1" presStyleLbl="vennNode1" presStyleIdx="0" presStyleCnt="2"/>
      <dgm:spPr/>
    </dgm:pt>
    <dgm:pt modelId="{6B981B79-B316-4416-91C3-74394D477AC3}" type="pres">
      <dgm:prSet presAssocID="{4F668362-705D-4D27-B5E8-860DEE5ED87B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763A0481-B898-4A2B-860F-001E1B873754}" type="pres">
      <dgm:prSet presAssocID="{7FDA625D-C8E0-40D0-BE85-BACF0B2AB5B2}" presName="circ2" presStyleLbl="vennNode1" presStyleIdx="1" presStyleCnt="2"/>
      <dgm:spPr/>
    </dgm:pt>
    <dgm:pt modelId="{632CE823-CC80-4CDE-AD07-8B3656FC6747}" type="pres">
      <dgm:prSet presAssocID="{7FDA625D-C8E0-40D0-BE85-BACF0B2AB5B2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1505CC01-B1EE-4731-ADAD-2D09B9E1AEEA}" type="presOf" srcId="{4F668362-705D-4D27-B5E8-860DEE5ED87B}" destId="{6B981B79-B316-4416-91C3-74394D477AC3}" srcOrd="1" destOrd="0" presId="urn:microsoft.com/office/officeart/2005/8/layout/venn1"/>
    <dgm:cxn modelId="{DD6D3A1E-1030-475F-94DD-CFCAAA7FBBF3}" type="presOf" srcId="{7FDA625D-C8E0-40D0-BE85-BACF0B2AB5B2}" destId="{632CE823-CC80-4CDE-AD07-8B3656FC6747}" srcOrd="1" destOrd="0" presId="urn:microsoft.com/office/officeart/2005/8/layout/venn1"/>
    <dgm:cxn modelId="{229C8F29-9BF1-4502-8B24-8B5986F33F64}" type="presOf" srcId="{4F668362-705D-4D27-B5E8-860DEE5ED87B}" destId="{2C140001-6750-45DA-9611-44FB562ABF8A}" srcOrd="0" destOrd="0" presId="urn:microsoft.com/office/officeart/2005/8/layout/venn1"/>
    <dgm:cxn modelId="{E4FEDA3E-4ADD-481B-B5A2-8DC2FA392002}" type="presOf" srcId="{7FDA625D-C8E0-40D0-BE85-BACF0B2AB5B2}" destId="{763A0481-B898-4A2B-860F-001E1B873754}" srcOrd="0" destOrd="0" presId="urn:microsoft.com/office/officeart/2005/8/layout/venn1"/>
    <dgm:cxn modelId="{B26E3099-C88A-4A0E-8E72-9AD89C6BC672}" srcId="{1449D127-9178-43F5-B7E7-C0194826A709}" destId="{7FDA625D-C8E0-40D0-BE85-BACF0B2AB5B2}" srcOrd="1" destOrd="0" parTransId="{B71B8E71-91CB-4439-B38B-CCBB4511F678}" sibTransId="{8965DFAE-31EB-41CC-8BAD-7FEE2C98E3C3}"/>
    <dgm:cxn modelId="{D159F59B-90F3-4699-BE3C-EDFB2A5C1D8A}" srcId="{1449D127-9178-43F5-B7E7-C0194826A709}" destId="{4F668362-705D-4D27-B5E8-860DEE5ED87B}" srcOrd="0" destOrd="0" parTransId="{84DD6257-E135-4009-AB26-C8485213AE07}" sibTransId="{AF176721-523A-42C7-8362-A8DFD1A373B3}"/>
    <dgm:cxn modelId="{E0294FF9-F493-4497-9313-8A603AF38490}" type="presOf" srcId="{1449D127-9178-43F5-B7E7-C0194826A709}" destId="{B794E096-51B0-491D-B4B1-51D9801DEFD8}" srcOrd="0" destOrd="0" presId="urn:microsoft.com/office/officeart/2005/8/layout/venn1"/>
    <dgm:cxn modelId="{69ABA65D-0A1C-4214-9B9C-37E12200E8C5}" type="presParOf" srcId="{B794E096-51B0-491D-B4B1-51D9801DEFD8}" destId="{2C140001-6750-45DA-9611-44FB562ABF8A}" srcOrd="0" destOrd="0" presId="urn:microsoft.com/office/officeart/2005/8/layout/venn1"/>
    <dgm:cxn modelId="{AC96F72C-0E84-4C63-A669-A14812525A01}" type="presParOf" srcId="{B794E096-51B0-491D-B4B1-51D9801DEFD8}" destId="{6B981B79-B316-4416-91C3-74394D477AC3}" srcOrd="1" destOrd="0" presId="urn:microsoft.com/office/officeart/2005/8/layout/venn1"/>
    <dgm:cxn modelId="{ACFB5011-DD4B-4BC7-8B79-4F8BCF363D1E}" type="presParOf" srcId="{B794E096-51B0-491D-B4B1-51D9801DEFD8}" destId="{763A0481-B898-4A2B-860F-001E1B873754}" srcOrd="2" destOrd="0" presId="urn:microsoft.com/office/officeart/2005/8/layout/venn1"/>
    <dgm:cxn modelId="{8A3085BE-4CEF-4C4B-AFEA-9275EF8C62BE}" type="presParOf" srcId="{B794E096-51B0-491D-B4B1-51D9801DEFD8}" destId="{632CE823-CC80-4CDE-AD07-8B3656FC6747}" srcOrd="3" destOrd="0" presId="urn:microsoft.com/office/officeart/2005/8/layout/venn1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C140001-6750-45DA-9611-44FB562ABF8A}">
      <dsp:nvSpPr>
        <dsp:cNvPr id="0" name=""/>
        <dsp:cNvSpPr/>
      </dsp:nvSpPr>
      <dsp:spPr>
        <a:xfrm>
          <a:off x="58935" y="113704"/>
          <a:ext cx="1453753" cy="1453753"/>
        </a:xfrm>
        <a:prstGeom prst="ellipse">
          <a:avLst/>
        </a:prstGeom>
        <a:gradFill rotWithShape="0">
          <a:gsLst>
            <a:gs pos="0">
              <a:schemeClr val="accent1">
                <a:shade val="80000"/>
                <a:alpha val="5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shade val="80000"/>
                <a:alpha val="5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shade val="80000"/>
                <a:alpha val="5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solidFill>
            <a:sysClr val="windowText" lastClr="000000"/>
          </a:solidFill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3600" kern="1200"/>
            <a:t>206</a:t>
          </a:r>
        </a:p>
      </dsp:txBody>
      <dsp:txXfrm>
        <a:off x="261937" y="285133"/>
        <a:ext cx="838200" cy="1110895"/>
      </dsp:txXfrm>
    </dsp:sp>
    <dsp:sp modelId="{763A0481-B898-4A2B-860F-001E1B873754}">
      <dsp:nvSpPr>
        <dsp:cNvPr id="0" name=""/>
        <dsp:cNvSpPr/>
      </dsp:nvSpPr>
      <dsp:spPr>
        <a:xfrm>
          <a:off x="1106685" y="113704"/>
          <a:ext cx="1453753" cy="1453753"/>
        </a:xfrm>
        <a:prstGeom prst="ellipse">
          <a:avLst/>
        </a:prstGeom>
        <a:gradFill rotWithShape="0">
          <a:gsLst>
            <a:gs pos="0">
              <a:schemeClr val="accent1">
                <a:shade val="80000"/>
                <a:alpha val="50000"/>
                <a:hueOff val="271263"/>
                <a:satOff val="5175"/>
                <a:lumOff val="22855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shade val="80000"/>
                <a:alpha val="50000"/>
                <a:hueOff val="271263"/>
                <a:satOff val="5175"/>
                <a:lumOff val="22855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shade val="80000"/>
                <a:alpha val="50000"/>
                <a:hueOff val="271263"/>
                <a:satOff val="5175"/>
                <a:lumOff val="22855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solidFill>
            <a:sysClr val="windowText" lastClr="000000"/>
          </a:solidFill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800" kern="1200"/>
            <a:t>26</a:t>
          </a:r>
        </a:p>
      </dsp:txBody>
      <dsp:txXfrm>
        <a:off x="1519237" y="285133"/>
        <a:ext cx="838200" cy="1110895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C140001-6750-45DA-9611-44FB562ABF8A}">
      <dsp:nvSpPr>
        <dsp:cNvPr id="0" name=""/>
        <dsp:cNvSpPr/>
      </dsp:nvSpPr>
      <dsp:spPr>
        <a:xfrm>
          <a:off x="58935" y="113704"/>
          <a:ext cx="1453753" cy="1453753"/>
        </a:xfrm>
        <a:prstGeom prst="ellipse">
          <a:avLst/>
        </a:prstGeom>
        <a:solidFill>
          <a:schemeClr val="accent2">
            <a:shade val="80000"/>
            <a:alpha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2800" kern="1200"/>
            <a:t>43</a:t>
          </a:r>
        </a:p>
      </dsp:txBody>
      <dsp:txXfrm>
        <a:off x="261937" y="285133"/>
        <a:ext cx="838200" cy="1110895"/>
      </dsp:txXfrm>
    </dsp:sp>
    <dsp:sp modelId="{763A0481-B898-4A2B-860F-001E1B873754}">
      <dsp:nvSpPr>
        <dsp:cNvPr id="0" name=""/>
        <dsp:cNvSpPr/>
      </dsp:nvSpPr>
      <dsp:spPr>
        <a:xfrm>
          <a:off x="1106685" y="113704"/>
          <a:ext cx="1453753" cy="1453753"/>
        </a:xfrm>
        <a:prstGeom prst="ellipse">
          <a:avLst/>
        </a:prstGeom>
        <a:solidFill>
          <a:schemeClr val="accent2">
            <a:shade val="80000"/>
            <a:alpha val="50000"/>
            <a:hueOff val="-591223"/>
            <a:satOff val="7735"/>
            <a:lumOff val="36639"/>
            <a:alphaOff val="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2800" kern="1200"/>
            <a:t>31</a:t>
          </a:r>
        </a:p>
      </dsp:txBody>
      <dsp:txXfrm>
        <a:off x="1519237" y="285133"/>
        <a:ext cx="838200" cy="1110895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C140001-6750-45DA-9611-44FB562ABF8A}">
      <dsp:nvSpPr>
        <dsp:cNvPr id="0" name=""/>
        <dsp:cNvSpPr/>
      </dsp:nvSpPr>
      <dsp:spPr>
        <a:xfrm>
          <a:off x="58935" y="113704"/>
          <a:ext cx="1453753" cy="1453753"/>
        </a:xfrm>
        <a:prstGeom prst="ellipse">
          <a:avLst/>
        </a:prstGeom>
        <a:gradFill rotWithShape="0">
          <a:gsLst>
            <a:gs pos="0">
              <a:schemeClr val="accent6">
                <a:shade val="80000"/>
                <a:alpha val="5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shade val="80000"/>
                <a:alpha val="5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shade val="80000"/>
                <a:alpha val="5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solidFill>
            <a:schemeClr val="tx1"/>
          </a:solidFill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3600" kern="1200"/>
            <a:t>241</a:t>
          </a:r>
        </a:p>
      </dsp:txBody>
      <dsp:txXfrm>
        <a:off x="261937" y="285133"/>
        <a:ext cx="838200" cy="1110895"/>
      </dsp:txXfrm>
    </dsp:sp>
    <dsp:sp modelId="{763A0481-B898-4A2B-860F-001E1B873754}">
      <dsp:nvSpPr>
        <dsp:cNvPr id="0" name=""/>
        <dsp:cNvSpPr/>
      </dsp:nvSpPr>
      <dsp:spPr>
        <a:xfrm>
          <a:off x="1106685" y="113704"/>
          <a:ext cx="1453753" cy="1453753"/>
        </a:xfrm>
        <a:prstGeom prst="ellipse">
          <a:avLst/>
        </a:prstGeom>
        <a:gradFill rotWithShape="0">
          <a:gsLst>
            <a:gs pos="0">
              <a:schemeClr val="accent6">
                <a:shade val="80000"/>
                <a:alpha val="50000"/>
                <a:hueOff val="379763"/>
                <a:satOff val="-15429"/>
                <a:lumOff val="37636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shade val="80000"/>
                <a:alpha val="50000"/>
                <a:hueOff val="379763"/>
                <a:satOff val="-15429"/>
                <a:lumOff val="37636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shade val="80000"/>
                <a:alpha val="50000"/>
                <a:hueOff val="379763"/>
                <a:satOff val="-15429"/>
                <a:lumOff val="37636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solidFill>
            <a:sysClr val="windowText" lastClr="000000"/>
          </a:solidFill>
        </a:ln>
        <a:effectLst/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800" kern="1200"/>
            <a:t>25</a:t>
          </a:r>
        </a:p>
      </dsp:txBody>
      <dsp:txXfrm>
        <a:off x="1519237" y="285133"/>
        <a:ext cx="838200" cy="1110895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C140001-6750-45DA-9611-44FB562ABF8A}">
      <dsp:nvSpPr>
        <dsp:cNvPr id="0" name=""/>
        <dsp:cNvSpPr/>
      </dsp:nvSpPr>
      <dsp:spPr>
        <a:xfrm>
          <a:off x="58935" y="115291"/>
          <a:ext cx="1453753" cy="1453753"/>
        </a:xfrm>
        <a:prstGeom prst="ellipse">
          <a:avLst/>
        </a:prstGeom>
        <a:solidFill>
          <a:schemeClr val="accent4">
            <a:shade val="80000"/>
            <a:alpha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2800" kern="1200"/>
            <a:t>54</a:t>
          </a:r>
        </a:p>
      </dsp:txBody>
      <dsp:txXfrm>
        <a:off x="261937" y="286720"/>
        <a:ext cx="838200" cy="1110895"/>
      </dsp:txXfrm>
    </dsp:sp>
    <dsp:sp modelId="{763A0481-B898-4A2B-860F-001E1B873754}">
      <dsp:nvSpPr>
        <dsp:cNvPr id="0" name=""/>
        <dsp:cNvSpPr/>
      </dsp:nvSpPr>
      <dsp:spPr>
        <a:xfrm>
          <a:off x="1106685" y="115291"/>
          <a:ext cx="1453753" cy="1453753"/>
        </a:xfrm>
        <a:prstGeom prst="ellipse">
          <a:avLst/>
        </a:prstGeom>
        <a:solidFill>
          <a:schemeClr val="accent4">
            <a:shade val="80000"/>
            <a:alpha val="50000"/>
            <a:hueOff val="-631583"/>
            <a:satOff val="0"/>
            <a:lumOff val="41451"/>
            <a:alphaOff val="0"/>
          </a:schemeClr>
        </a:solidFill>
        <a:ln w="12700" cap="flat" cmpd="sng" algn="ctr">
          <a:solidFill>
            <a:schemeClr val="tx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3200" kern="1200"/>
            <a:t>75</a:t>
          </a:r>
        </a:p>
      </dsp:txBody>
      <dsp:txXfrm>
        <a:off x="1519237" y="286720"/>
        <a:ext cx="838200" cy="111089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1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17" Type="http://schemas.openxmlformats.org/officeDocument/2006/relationships/diagramLayout" Target="../diagrams/layout4.xml"/><Relationship Id="rId2" Type="http://schemas.openxmlformats.org/officeDocument/2006/relationships/diagramLayout" Target="../diagrams/layout1.xml"/><Relationship Id="rId16" Type="http://schemas.openxmlformats.org/officeDocument/2006/relationships/diagramData" Target="../diagrams/data4.xml"/><Relationship Id="rId20" Type="http://schemas.microsoft.com/office/2007/relationships/diagramDrawing" Target="../diagrams/drawing4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19" Type="http://schemas.openxmlformats.org/officeDocument/2006/relationships/diagramColors" Target="../diagrams/colors4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195262</xdr:rowOff>
    </xdr:from>
    <xdr:to>
      <xdr:col>15</xdr:col>
      <xdr:colOff>295275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22</xdr:col>
      <xdr:colOff>47625</xdr:colOff>
      <xdr:row>14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19050</xdr:colOff>
      <xdr:row>15</xdr:row>
      <xdr:rowOff>42863</xdr:rowOff>
    </xdr:from>
    <xdr:to>
      <xdr:col>22</xdr:col>
      <xdr:colOff>66675</xdr:colOff>
      <xdr:row>27</xdr:row>
      <xdr:rowOff>176213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29</xdr:col>
      <xdr:colOff>47625</xdr:colOff>
      <xdr:row>14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19050</xdr:colOff>
      <xdr:row>15</xdr:row>
      <xdr:rowOff>42863</xdr:rowOff>
    </xdr:from>
    <xdr:to>
      <xdr:col>29</xdr:col>
      <xdr:colOff>66675</xdr:colOff>
      <xdr:row>27</xdr:row>
      <xdr:rowOff>176213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238125</xdr:colOff>
      <xdr:row>14</xdr:row>
      <xdr:rowOff>192767</xdr:rowOff>
    </xdr:from>
    <xdr:to>
      <xdr:col>15</xdr:col>
      <xdr:colOff>285750</xdr:colOff>
      <xdr:row>29</xdr:row>
      <xdr:rowOff>19956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23</xdr:row>
      <xdr:rowOff>4761</xdr:rowOff>
    </xdr:from>
    <xdr:to>
      <xdr:col>2</xdr:col>
      <xdr:colOff>28575</xdr:colOff>
      <xdr:row>49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419101</xdr:colOff>
      <xdr:row>23</xdr:row>
      <xdr:rowOff>19051</xdr:rowOff>
    </xdr:from>
    <xdr:to>
      <xdr:col>9</xdr:col>
      <xdr:colOff>381001</xdr:colOff>
      <xdr:row>47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23</xdr:row>
      <xdr:rowOff>33336</xdr:rowOff>
    </xdr:from>
    <xdr:to>
      <xdr:col>5</xdr:col>
      <xdr:colOff>390525</xdr:colOff>
      <xdr:row>49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133349</xdr:colOff>
      <xdr:row>23</xdr:row>
      <xdr:rowOff>9525</xdr:rowOff>
    </xdr:from>
    <xdr:to>
      <xdr:col>13</xdr:col>
      <xdr:colOff>0</xdr:colOff>
      <xdr:row>49</xdr:row>
      <xdr:rowOff>128588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22</xdr:row>
      <xdr:rowOff>4761</xdr:rowOff>
    </xdr:from>
    <xdr:to>
      <xdr:col>2</xdr:col>
      <xdr:colOff>28575</xdr:colOff>
      <xdr:row>48</xdr:row>
      <xdr:rowOff>123824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22</xdr:row>
      <xdr:rowOff>0</xdr:rowOff>
    </xdr:from>
    <xdr:to>
      <xdr:col>7</xdr:col>
      <xdr:colOff>1685925</xdr:colOff>
      <xdr:row>48</xdr:row>
      <xdr:rowOff>119063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0</xdr:row>
      <xdr:rowOff>104774</xdr:rowOff>
    </xdr:from>
    <xdr:to>
      <xdr:col>9</xdr:col>
      <xdr:colOff>57150</xdr:colOff>
      <xdr:row>9</xdr:row>
      <xdr:rowOff>100011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381000</xdr:colOff>
      <xdr:row>0</xdr:row>
      <xdr:rowOff>95249</xdr:rowOff>
    </xdr:from>
    <xdr:to>
      <xdr:col>12</xdr:col>
      <xdr:colOff>714375</xdr:colOff>
      <xdr:row>9</xdr:row>
      <xdr:rowOff>90486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oneCellAnchor>
    <xdr:from>
      <xdr:col>7</xdr:col>
      <xdr:colOff>66675</xdr:colOff>
      <xdr:row>4</xdr:row>
      <xdr:rowOff>0</xdr:rowOff>
    </xdr:from>
    <xdr:ext cx="444609" cy="405432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695950" y="762000"/>
          <a:ext cx="444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2000"/>
            <a:t>58</a:t>
          </a:r>
        </a:p>
      </xdr:txBody>
    </xdr:sp>
    <xdr:clientData/>
  </xdr:oneCellAnchor>
  <xdr:oneCellAnchor>
    <xdr:from>
      <xdr:col>11</xdr:col>
      <xdr:colOff>9525</xdr:colOff>
      <xdr:row>4</xdr:row>
      <xdr:rowOff>47625</xdr:rowOff>
    </xdr:from>
    <xdr:ext cx="340606" cy="280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91525" y="809625"/>
          <a:ext cx="34060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/>
            <a:t>20</a:t>
          </a:r>
        </a:p>
      </xdr:txBody>
    </xdr:sp>
    <xdr:clientData/>
  </xdr:oneCellAnchor>
  <xdr:twoCellAnchor>
    <xdr:from>
      <xdr:col>6</xdr:col>
      <xdr:colOff>0</xdr:colOff>
      <xdr:row>13</xdr:row>
      <xdr:rowOff>9525</xdr:rowOff>
    </xdr:from>
    <xdr:to>
      <xdr:col>9</xdr:col>
      <xdr:colOff>333375</xdr:colOff>
      <xdr:row>22</xdr:row>
      <xdr:rowOff>4762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xdr:twoCellAnchor>
    <xdr:from>
      <xdr:col>9</xdr:col>
      <xdr:colOff>657225</xdr:colOff>
      <xdr:row>13</xdr:row>
      <xdr:rowOff>0</xdr:rowOff>
    </xdr:from>
    <xdr:to>
      <xdr:col>13</xdr:col>
      <xdr:colOff>228600</xdr:colOff>
      <xdr:row>21</xdr:row>
      <xdr:rowOff>185737</xdr:rowOff>
    </xdr:to>
    <xdr:graphicFrame macro="">
      <xdr:nvGraphicFramePr>
        <xdr:cNvPr id="7" name="Diagram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oneCellAnchor>
    <xdr:from>
      <xdr:col>7</xdr:col>
      <xdr:colOff>342900</xdr:colOff>
      <xdr:row>16</xdr:row>
      <xdr:rowOff>104776</xdr:rowOff>
    </xdr:from>
    <xdr:ext cx="418704" cy="374141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972175" y="3152776"/>
          <a:ext cx="41870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800"/>
            <a:t>23</a:t>
          </a:r>
        </a:p>
      </xdr:txBody>
    </xdr:sp>
    <xdr:clientData/>
  </xdr:oneCellAnchor>
  <xdr:oneCellAnchor>
    <xdr:from>
      <xdr:col>11</xdr:col>
      <xdr:colOff>285750</xdr:colOff>
      <xdr:row>16</xdr:row>
      <xdr:rowOff>142876</xdr:rowOff>
    </xdr:from>
    <xdr:ext cx="256160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963025" y="3190876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workbookViewId="0">
      <selection activeCell="A30" sqref="A30"/>
    </sheetView>
  </sheetViews>
  <sheetFormatPr baseColWidth="10" defaultRowHeight="14.75" x14ac:dyDescent="0.75"/>
  <cols>
    <col min="1" max="1" width="63.26953125" customWidth="1"/>
    <col min="2" max="2" width="6.26953125" style="1" customWidth="1"/>
    <col min="3" max="4" width="7" customWidth="1"/>
    <col min="5" max="5" width="8.86328125" customWidth="1"/>
    <col min="6" max="6" width="5.7265625" customWidth="1"/>
    <col min="7" max="7" width="8.1328125" customWidth="1"/>
    <col min="8" max="8" width="5.54296875" customWidth="1"/>
    <col min="9" max="9" width="8.26953125" customWidth="1"/>
    <col min="10" max="10" width="5.7265625" customWidth="1"/>
    <col min="11" max="11" width="8.1328125" customWidth="1"/>
    <col min="12" max="12" width="5.7265625" customWidth="1"/>
    <col min="13" max="13" width="9.26953125" customWidth="1"/>
  </cols>
  <sheetData>
    <row r="1" spans="1:13" ht="15.5" thickBot="1" x14ac:dyDescent="0.9">
      <c r="B1" s="73" t="s">
        <v>36</v>
      </c>
      <c r="C1" s="73"/>
      <c r="D1" s="73"/>
      <c r="E1" s="73"/>
      <c r="F1" s="73" t="s">
        <v>37</v>
      </c>
      <c r="G1" s="73"/>
      <c r="H1" s="73"/>
      <c r="I1" s="73"/>
      <c r="J1" s="73" t="s">
        <v>39</v>
      </c>
      <c r="K1" s="73"/>
      <c r="L1" s="73"/>
      <c r="M1" s="73"/>
    </row>
    <row r="2" spans="1:13" ht="19.25" thickBot="1" x14ac:dyDescent="1.05">
      <c r="B2" s="70" t="s">
        <v>3</v>
      </c>
      <c r="C2" s="71"/>
      <c r="D2" s="71"/>
      <c r="E2" s="72"/>
      <c r="F2" s="70" t="s">
        <v>4</v>
      </c>
      <c r="G2" s="71"/>
      <c r="H2" s="71"/>
      <c r="I2" s="72"/>
      <c r="J2" s="70" t="s">
        <v>5</v>
      </c>
      <c r="K2" s="71"/>
      <c r="L2" s="71"/>
      <c r="M2" s="72"/>
    </row>
    <row r="3" spans="1:13" ht="15.5" thickBot="1" x14ac:dyDescent="0.9">
      <c r="B3" s="13" t="s">
        <v>38</v>
      </c>
      <c r="C3" s="19" t="s">
        <v>1</v>
      </c>
      <c r="D3" s="14" t="s">
        <v>38</v>
      </c>
      <c r="E3" s="15" t="s">
        <v>2</v>
      </c>
      <c r="F3" s="16" t="s">
        <v>38</v>
      </c>
      <c r="G3" s="20" t="s">
        <v>1</v>
      </c>
      <c r="H3" s="17" t="s">
        <v>38</v>
      </c>
      <c r="I3" s="18" t="s">
        <v>2</v>
      </c>
      <c r="J3" s="28" t="s">
        <v>38</v>
      </c>
      <c r="K3" s="29" t="s">
        <v>1</v>
      </c>
      <c r="L3" s="31" t="s">
        <v>38</v>
      </c>
      <c r="M3" s="32" t="s">
        <v>2</v>
      </c>
    </row>
    <row r="4" spans="1:13" s="4" customFormat="1" x14ac:dyDescent="0.75">
      <c r="A4" s="21" t="s">
        <v>6</v>
      </c>
      <c r="B4" s="22">
        <v>20.309999999999999</v>
      </c>
      <c r="C4" s="23">
        <v>53</v>
      </c>
      <c r="D4" s="24">
        <v>15.63</v>
      </c>
      <c r="E4" s="23">
        <v>10</v>
      </c>
      <c r="F4" s="25">
        <v>34.950000000000003</v>
      </c>
      <c r="G4" s="23">
        <v>29</v>
      </c>
      <c r="H4" s="24">
        <v>7.87</v>
      </c>
      <c r="I4" s="23">
        <v>4</v>
      </c>
      <c r="J4" s="25" t="s">
        <v>40</v>
      </c>
      <c r="K4" s="23">
        <v>4</v>
      </c>
      <c r="L4" s="24">
        <v>28.92</v>
      </c>
      <c r="M4" s="23">
        <v>24</v>
      </c>
    </row>
    <row r="5" spans="1:13" s="26" customFormat="1" ht="17.25" customHeight="1" x14ac:dyDescent="0.75">
      <c r="A5" s="3" t="s">
        <v>10</v>
      </c>
      <c r="B5" s="7"/>
      <c r="C5" s="33">
        <v>27</v>
      </c>
      <c r="D5" s="34"/>
      <c r="E5" s="33">
        <v>9</v>
      </c>
      <c r="F5" s="35"/>
      <c r="G5" s="33">
        <v>13</v>
      </c>
      <c r="H5" s="34"/>
      <c r="I5" s="33">
        <v>4</v>
      </c>
      <c r="J5" s="35"/>
      <c r="K5" s="33">
        <v>1</v>
      </c>
      <c r="L5" s="34"/>
      <c r="M5" s="33">
        <v>18</v>
      </c>
    </row>
    <row r="6" spans="1:13" s="26" customFormat="1" ht="16" x14ac:dyDescent="0.75">
      <c r="A6" s="3" t="s">
        <v>11</v>
      </c>
      <c r="B6" s="7"/>
      <c r="C6" s="33">
        <v>14</v>
      </c>
      <c r="D6" s="34"/>
      <c r="E6" s="33">
        <v>0</v>
      </c>
      <c r="F6" s="35"/>
      <c r="G6" s="33">
        <v>7</v>
      </c>
      <c r="H6" s="34"/>
      <c r="I6" s="33">
        <v>0</v>
      </c>
      <c r="J6" s="35"/>
      <c r="K6" s="33">
        <v>3</v>
      </c>
      <c r="L6" s="34"/>
      <c r="M6" s="33">
        <v>2</v>
      </c>
    </row>
    <row r="7" spans="1:13" s="26" customFormat="1" ht="19.5" customHeight="1" x14ac:dyDescent="0.75">
      <c r="A7" s="3" t="s">
        <v>12</v>
      </c>
      <c r="B7" s="7"/>
      <c r="C7" s="33">
        <v>7</v>
      </c>
      <c r="D7" s="34"/>
      <c r="E7" s="33">
        <v>0</v>
      </c>
      <c r="F7" s="35"/>
      <c r="G7" s="33">
        <v>4</v>
      </c>
      <c r="H7" s="34"/>
      <c r="I7" s="33">
        <v>0</v>
      </c>
      <c r="J7" s="35"/>
      <c r="K7" s="33">
        <v>0</v>
      </c>
      <c r="L7" s="34"/>
      <c r="M7" s="33">
        <v>1</v>
      </c>
    </row>
    <row r="8" spans="1:13" s="26" customFormat="1" ht="16" x14ac:dyDescent="0.75">
      <c r="A8" s="3" t="s">
        <v>13</v>
      </c>
      <c r="B8" s="7"/>
      <c r="C8" s="33">
        <v>3</v>
      </c>
      <c r="D8" s="34"/>
      <c r="E8" s="33">
        <v>1</v>
      </c>
      <c r="F8" s="35"/>
      <c r="G8" s="33">
        <v>4</v>
      </c>
      <c r="H8" s="34"/>
      <c r="I8" s="33">
        <v>0</v>
      </c>
      <c r="J8" s="35"/>
      <c r="K8" s="33">
        <v>0</v>
      </c>
      <c r="L8" s="34"/>
      <c r="M8" s="33">
        <v>2</v>
      </c>
    </row>
    <row r="9" spans="1:13" s="26" customFormat="1" ht="18" customHeight="1" x14ac:dyDescent="0.75">
      <c r="A9" s="3" t="s">
        <v>14</v>
      </c>
      <c r="B9" s="7"/>
      <c r="C9" s="33">
        <v>2</v>
      </c>
      <c r="D9" s="34"/>
      <c r="E9" s="33">
        <v>0</v>
      </c>
      <c r="F9" s="35"/>
      <c r="G9" s="33">
        <v>1</v>
      </c>
      <c r="H9" s="34"/>
      <c r="I9" s="33">
        <v>0</v>
      </c>
      <c r="J9" s="35"/>
      <c r="K9" s="33">
        <v>0</v>
      </c>
      <c r="L9" s="34"/>
      <c r="M9" s="33">
        <v>1</v>
      </c>
    </row>
    <row r="10" spans="1:13" s="4" customFormat="1" x14ac:dyDescent="0.75">
      <c r="A10" s="21" t="s">
        <v>7</v>
      </c>
      <c r="B10" s="22">
        <v>27.2</v>
      </c>
      <c r="C10" s="23">
        <v>71</v>
      </c>
      <c r="D10" s="24">
        <v>14.06</v>
      </c>
      <c r="E10" s="23">
        <v>9</v>
      </c>
      <c r="F10" s="25">
        <v>21.69</v>
      </c>
      <c r="G10" s="23">
        <v>18</v>
      </c>
      <c r="H10" s="24">
        <v>9.8000000000000007</v>
      </c>
      <c r="I10" s="23">
        <v>5</v>
      </c>
      <c r="J10" s="25">
        <v>35.42</v>
      </c>
      <c r="K10" s="23">
        <v>17</v>
      </c>
      <c r="L10" s="24">
        <v>18.07</v>
      </c>
      <c r="M10" s="23">
        <v>15</v>
      </c>
    </row>
    <row r="11" spans="1:13" s="26" customFormat="1" ht="15.75" customHeight="1" x14ac:dyDescent="0.75">
      <c r="A11" s="3" t="s">
        <v>15</v>
      </c>
      <c r="B11" s="7"/>
      <c r="C11" s="33">
        <v>39</v>
      </c>
      <c r="D11" s="34"/>
      <c r="E11" s="33">
        <v>8</v>
      </c>
      <c r="F11" s="35"/>
      <c r="G11" s="33">
        <v>14</v>
      </c>
      <c r="H11" s="34"/>
      <c r="I11" s="33">
        <v>4</v>
      </c>
      <c r="J11" s="35"/>
      <c r="K11" s="33">
        <v>14</v>
      </c>
      <c r="L11" s="34"/>
      <c r="M11" s="33">
        <v>10</v>
      </c>
    </row>
    <row r="12" spans="1:13" s="26" customFormat="1" ht="16" x14ac:dyDescent="0.75">
      <c r="A12" s="3" t="s">
        <v>16</v>
      </c>
      <c r="B12" s="7"/>
      <c r="C12" s="33">
        <v>23</v>
      </c>
      <c r="D12" s="34"/>
      <c r="E12" s="33">
        <v>0</v>
      </c>
      <c r="F12" s="35"/>
      <c r="G12" s="33">
        <v>3</v>
      </c>
      <c r="H12" s="34"/>
      <c r="I12" s="33">
        <v>1</v>
      </c>
      <c r="J12" s="35"/>
      <c r="K12" s="33">
        <v>2</v>
      </c>
      <c r="L12" s="34"/>
      <c r="M12" s="33">
        <v>4</v>
      </c>
    </row>
    <row r="13" spans="1:13" s="26" customFormat="1" ht="16" x14ac:dyDescent="0.75">
      <c r="A13" s="3" t="s">
        <v>17</v>
      </c>
      <c r="B13" s="7"/>
      <c r="C13" s="33">
        <v>5</v>
      </c>
      <c r="D13" s="34"/>
      <c r="E13" s="33">
        <v>0</v>
      </c>
      <c r="F13" s="35"/>
      <c r="G13" s="33">
        <v>0</v>
      </c>
      <c r="H13" s="34"/>
      <c r="I13" s="33">
        <v>0</v>
      </c>
      <c r="J13" s="35"/>
      <c r="K13" s="33">
        <v>0</v>
      </c>
      <c r="L13" s="34"/>
      <c r="M13" s="33">
        <v>0</v>
      </c>
    </row>
    <row r="14" spans="1:13" s="26" customFormat="1" ht="16" x14ac:dyDescent="0.75">
      <c r="A14" s="3" t="s">
        <v>18</v>
      </c>
      <c r="B14" s="7"/>
      <c r="C14" s="33">
        <v>3</v>
      </c>
      <c r="D14" s="34"/>
      <c r="E14" s="33">
        <v>0</v>
      </c>
      <c r="F14" s="35"/>
      <c r="G14" s="33">
        <v>1</v>
      </c>
      <c r="H14" s="34"/>
      <c r="I14" s="33">
        <v>0</v>
      </c>
      <c r="J14" s="35"/>
      <c r="K14" s="33">
        <v>0</v>
      </c>
      <c r="L14" s="34"/>
      <c r="M14" s="33">
        <v>0</v>
      </c>
    </row>
    <row r="15" spans="1:13" s="26" customFormat="1" ht="16" x14ac:dyDescent="0.75">
      <c r="A15" s="3" t="s">
        <v>19</v>
      </c>
      <c r="B15" s="7"/>
      <c r="C15" s="33">
        <v>1</v>
      </c>
      <c r="D15" s="34"/>
      <c r="E15" s="33">
        <v>1</v>
      </c>
      <c r="F15" s="35"/>
      <c r="G15" s="33">
        <v>0</v>
      </c>
      <c r="H15" s="34"/>
      <c r="I15" s="33">
        <v>0</v>
      </c>
      <c r="J15" s="35"/>
      <c r="K15" s="33">
        <v>1</v>
      </c>
      <c r="L15" s="34"/>
      <c r="M15" s="33">
        <v>1</v>
      </c>
    </row>
    <row r="16" spans="1:13" s="26" customFormat="1" ht="16" x14ac:dyDescent="0.75">
      <c r="A16" s="3" t="s">
        <v>20</v>
      </c>
      <c r="B16" s="7"/>
      <c r="C16" s="33">
        <v>0</v>
      </c>
      <c r="D16" s="34"/>
      <c r="E16" s="33">
        <v>0</v>
      </c>
      <c r="F16" s="35"/>
      <c r="G16" s="33">
        <v>0</v>
      </c>
      <c r="H16" s="34"/>
      <c r="I16" s="33">
        <v>0</v>
      </c>
      <c r="J16" s="35"/>
      <c r="K16" s="33">
        <v>0</v>
      </c>
      <c r="L16" s="34"/>
      <c r="M16" s="33">
        <v>0</v>
      </c>
    </row>
    <row r="17" spans="1:13" s="26" customFormat="1" ht="16" x14ac:dyDescent="0.75">
      <c r="A17" s="3" t="s">
        <v>21</v>
      </c>
      <c r="B17" s="7"/>
      <c r="C17" s="33">
        <v>0</v>
      </c>
      <c r="D17" s="34"/>
      <c r="E17" s="33">
        <v>0</v>
      </c>
      <c r="F17" s="35"/>
      <c r="G17" s="33">
        <v>0</v>
      </c>
      <c r="H17" s="34"/>
      <c r="I17" s="33">
        <v>0</v>
      </c>
      <c r="J17" s="35"/>
      <c r="K17" s="33">
        <v>0</v>
      </c>
      <c r="L17" s="34"/>
      <c r="M17" s="33">
        <v>0</v>
      </c>
    </row>
    <row r="18" spans="1:13" s="26" customFormat="1" ht="16" x14ac:dyDescent="0.75">
      <c r="A18" s="3" t="s">
        <v>22</v>
      </c>
      <c r="B18" s="7"/>
      <c r="C18" s="33">
        <v>0</v>
      </c>
      <c r="D18" s="34"/>
      <c r="E18" s="33">
        <v>0</v>
      </c>
      <c r="F18" s="35"/>
      <c r="G18" s="33">
        <v>0</v>
      </c>
      <c r="H18" s="34"/>
      <c r="I18" s="33">
        <v>0</v>
      </c>
      <c r="J18" s="35"/>
      <c r="K18" s="33">
        <v>0</v>
      </c>
      <c r="L18" s="34"/>
      <c r="M18" s="33">
        <v>0</v>
      </c>
    </row>
    <row r="19" spans="1:13" s="26" customFormat="1" ht="16" x14ac:dyDescent="0.75">
      <c r="A19" s="3" t="s">
        <v>23</v>
      </c>
      <c r="B19" s="7"/>
      <c r="C19" s="33">
        <v>0</v>
      </c>
      <c r="D19" s="34"/>
      <c r="E19" s="33">
        <v>0</v>
      </c>
      <c r="F19" s="35"/>
      <c r="G19" s="33">
        <v>0</v>
      </c>
      <c r="H19" s="34"/>
      <c r="I19" s="33">
        <v>0</v>
      </c>
      <c r="J19" s="35"/>
      <c r="K19" s="33">
        <v>0</v>
      </c>
      <c r="L19" s="34"/>
      <c r="M19" s="33">
        <v>0</v>
      </c>
    </row>
    <row r="20" spans="1:13" s="26" customFormat="1" ht="16" x14ac:dyDescent="0.75">
      <c r="A20" s="3" t="s">
        <v>24</v>
      </c>
      <c r="B20" s="7"/>
      <c r="C20" s="33">
        <v>0</v>
      </c>
      <c r="D20" s="34"/>
      <c r="E20" s="33">
        <v>0</v>
      </c>
      <c r="F20" s="35"/>
      <c r="G20" s="33">
        <v>0</v>
      </c>
      <c r="H20" s="34"/>
      <c r="I20" s="33">
        <v>0</v>
      </c>
      <c r="J20" s="35"/>
      <c r="K20" s="33">
        <v>0</v>
      </c>
      <c r="L20" s="34"/>
      <c r="M20" s="33">
        <v>0</v>
      </c>
    </row>
    <row r="21" spans="1:13" s="4" customFormat="1" x14ac:dyDescent="0.75">
      <c r="A21" s="21" t="s">
        <v>8</v>
      </c>
      <c r="B21" s="22">
        <v>35.630000000000003</v>
      </c>
      <c r="C21" s="23">
        <v>93</v>
      </c>
      <c r="D21" s="24">
        <v>46.88</v>
      </c>
      <c r="E21" s="23">
        <v>30</v>
      </c>
      <c r="F21" s="25">
        <v>25.3</v>
      </c>
      <c r="G21" s="23">
        <v>21</v>
      </c>
      <c r="H21" s="24">
        <v>60.78</v>
      </c>
      <c r="I21" s="23">
        <v>31</v>
      </c>
      <c r="J21" s="25">
        <v>41.67</v>
      </c>
      <c r="K21" s="23">
        <v>20</v>
      </c>
      <c r="L21" s="24">
        <v>45.78</v>
      </c>
      <c r="M21" s="23">
        <v>38</v>
      </c>
    </row>
    <row r="22" spans="1:13" ht="17.25" customHeight="1" x14ac:dyDescent="0.75">
      <c r="A22" s="3" t="s">
        <v>25</v>
      </c>
      <c r="B22" s="7"/>
      <c r="C22" s="6">
        <v>24</v>
      </c>
      <c r="D22" s="5"/>
      <c r="E22" s="6">
        <v>5</v>
      </c>
      <c r="F22" s="11"/>
      <c r="G22" s="6">
        <v>5</v>
      </c>
      <c r="H22" s="5"/>
      <c r="I22" s="6">
        <v>4</v>
      </c>
      <c r="J22" s="11"/>
      <c r="K22" s="6">
        <v>6</v>
      </c>
      <c r="L22" s="5"/>
      <c r="M22" s="6">
        <v>6</v>
      </c>
    </row>
    <row r="23" spans="1:13" ht="16" x14ac:dyDescent="0.75">
      <c r="A23" s="3" t="s">
        <v>26</v>
      </c>
      <c r="B23" s="7"/>
      <c r="C23" s="6">
        <v>22</v>
      </c>
      <c r="D23" s="5"/>
      <c r="E23" s="6">
        <v>13</v>
      </c>
      <c r="F23" s="11"/>
      <c r="G23" s="6">
        <v>4</v>
      </c>
      <c r="H23" s="5"/>
      <c r="I23" s="6">
        <v>8</v>
      </c>
      <c r="J23" s="11"/>
      <c r="K23" s="6">
        <v>5</v>
      </c>
      <c r="L23" s="5"/>
      <c r="M23" s="6">
        <v>7</v>
      </c>
    </row>
    <row r="24" spans="1:13" ht="16" x14ac:dyDescent="0.75">
      <c r="A24" s="3" t="s">
        <v>27</v>
      </c>
      <c r="B24" s="7"/>
      <c r="C24" s="6">
        <v>15</v>
      </c>
      <c r="D24" s="5"/>
      <c r="E24" s="6">
        <v>5</v>
      </c>
      <c r="F24" s="11"/>
      <c r="G24" s="6">
        <v>4</v>
      </c>
      <c r="H24" s="5"/>
      <c r="I24" s="6">
        <v>10</v>
      </c>
      <c r="J24" s="11"/>
      <c r="K24" s="6">
        <v>2</v>
      </c>
      <c r="L24" s="5"/>
      <c r="M24" s="6">
        <v>9</v>
      </c>
    </row>
    <row r="25" spans="1:13" ht="16" x14ac:dyDescent="0.75">
      <c r="A25" s="3" t="s">
        <v>28</v>
      </c>
      <c r="B25" s="7"/>
      <c r="C25" s="6">
        <v>14</v>
      </c>
      <c r="D25" s="5"/>
      <c r="E25" s="6">
        <v>2</v>
      </c>
      <c r="F25" s="11"/>
      <c r="G25" s="6">
        <v>1</v>
      </c>
      <c r="H25" s="5"/>
      <c r="I25" s="6">
        <v>5</v>
      </c>
      <c r="J25" s="11"/>
      <c r="K25" s="6">
        <v>2</v>
      </c>
      <c r="L25" s="5"/>
      <c r="M25" s="6">
        <v>8</v>
      </c>
    </row>
    <row r="26" spans="1:13" ht="16" x14ac:dyDescent="0.75">
      <c r="A26" s="3" t="s">
        <v>29</v>
      </c>
      <c r="B26" s="7"/>
      <c r="C26" s="6">
        <v>7</v>
      </c>
      <c r="D26" s="5"/>
      <c r="E26" s="6">
        <v>0</v>
      </c>
      <c r="F26" s="11"/>
      <c r="G26" s="6">
        <v>3</v>
      </c>
      <c r="H26" s="5"/>
      <c r="I26" s="6">
        <v>0</v>
      </c>
      <c r="J26" s="11"/>
      <c r="K26" s="6">
        <v>1</v>
      </c>
      <c r="L26" s="5"/>
      <c r="M26" s="6">
        <v>1</v>
      </c>
    </row>
    <row r="27" spans="1:13" ht="16" x14ac:dyDescent="0.75">
      <c r="A27" s="3" t="s">
        <v>30</v>
      </c>
      <c r="B27" s="7"/>
      <c r="C27" s="6">
        <v>6</v>
      </c>
      <c r="D27" s="5"/>
      <c r="E27" s="6">
        <v>1</v>
      </c>
      <c r="F27" s="11"/>
      <c r="G27" s="6">
        <v>2</v>
      </c>
      <c r="H27" s="5"/>
      <c r="I27" s="6">
        <v>3</v>
      </c>
      <c r="J27" s="11"/>
      <c r="K27" s="6">
        <v>0</v>
      </c>
      <c r="L27" s="5"/>
      <c r="M27" s="6">
        <v>4</v>
      </c>
    </row>
    <row r="28" spans="1:13" ht="16" x14ac:dyDescent="0.75">
      <c r="A28" s="3" t="s">
        <v>31</v>
      </c>
      <c r="B28" s="7"/>
      <c r="C28" s="6">
        <v>3</v>
      </c>
      <c r="D28" s="5"/>
      <c r="E28" s="6">
        <v>1</v>
      </c>
      <c r="F28" s="11"/>
      <c r="G28" s="6">
        <v>1</v>
      </c>
      <c r="H28" s="5"/>
      <c r="I28" s="6">
        <v>1</v>
      </c>
      <c r="J28" s="11"/>
      <c r="K28" s="6">
        <v>1</v>
      </c>
      <c r="L28" s="5"/>
      <c r="M28" s="6">
        <v>3</v>
      </c>
    </row>
    <row r="29" spans="1:13" ht="16" x14ac:dyDescent="0.75">
      <c r="A29" s="3" t="s">
        <v>32</v>
      </c>
      <c r="B29" s="7"/>
      <c r="C29" s="6">
        <v>2</v>
      </c>
      <c r="D29" s="5"/>
      <c r="E29" s="6">
        <v>3</v>
      </c>
      <c r="F29" s="11"/>
      <c r="G29" s="6">
        <v>1</v>
      </c>
      <c r="H29" s="5"/>
      <c r="I29" s="6">
        <v>0</v>
      </c>
      <c r="J29" s="11"/>
      <c r="K29" s="6">
        <v>3</v>
      </c>
      <c r="L29" s="5"/>
      <c r="M29" s="6">
        <v>0</v>
      </c>
    </row>
    <row r="30" spans="1:13" s="4" customFormat="1" x14ac:dyDescent="0.75">
      <c r="A30" s="21" t="s">
        <v>9</v>
      </c>
      <c r="B30" s="22">
        <v>13.03</v>
      </c>
      <c r="C30" s="23">
        <v>34</v>
      </c>
      <c r="D30" s="24">
        <v>20.21</v>
      </c>
      <c r="E30" s="23">
        <v>13</v>
      </c>
      <c r="F30" s="25">
        <v>12.05</v>
      </c>
      <c r="G30" s="23">
        <v>10</v>
      </c>
      <c r="H30" s="24">
        <v>19.61</v>
      </c>
      <c r="I30" s="23">
        <v>10</v>
      </c>
      <c r="J30" s="25">
        <v>12.5</v>
      </c>
      <c r="K30" s="23">
        <v>6</v>
      </c>
      <c r="L30" s="24">
        <v>3.61</v>
      </c>
      <c r="M30" s="23">
        <v>3</v>
      </c>
    </row>
    <row r="31" spans="1:13" ht="16" x14ac:dyDescent="0.75">
      <c r="A31" s="3" t="s">
        <v>33</v>
      </c>
      <c r="B31" s="7"/>
      <c r="C31" s="6">
        <v>34</v>
      </c>
      <c r="D31" s="5"/>
      <c r="E31" s="6">
        <v>13</v>
      </c>
      <c r="F31" s="11"/>
      <c r="G31" s="6">
        <v>10</v>
      </c>
      <c r="H31" s="5"/>
      <c r="I31" s="6">
        <v>10</v>
      </c>
      <c r="J31" s="11"/>
      <c r="K31" s="6">
        <v>6</v>
      </c>
      <c r="L31" s="5"/>
      <c r="M31" s="6">
        <v>3</v>
      </c>
    </row>
    <row r="32" spans="1:13" ht="16.75" thickBot="1" x14ac:dyDescent="0.9">
      <c r="A32" s="3" t="s">
        <v>34</v>
      </c>
      <c r="B32" s="8"/>
      <c r="C32" s="10">
        <v>0</v>
      </c>
      <c r="D32" s="9"/>
      <c r="E32" s="10">
        <v>0</v>
      </c>
      <c r="F32" s="12"/>
      <c r="G32" s="10">
        <v>0</v>
      </c>
      <c r="H32" s="9"/>
      <c r="I32" s="10">
        <v>0</v>
      </c>
      <c r="J32" s="12"/>
      <c r="K32" s="10">
        <v>0</v>
      </c>
      <c r="L32" s="9"/>
      <c r="M32" s="10">
        <v>0</v>
      </c>
    </row>
    <row r="33" spans="1:13" x14ac:dyDescent="0.75">
      <c r="A33" s="2"/>
      <c r="B33">
        <f t="shared" ref="B33:I33" si="0">SUM(B4,B10,B21,B30)</f>
        <v>96.17</v>
      </c>
      <c r="C33">
        <f t="shared" si="0"/>
        <v>251</v>
      </c>
      <c r="D33">
        <f t="shared" si="0"/>
        <v>96.78</v>
      </c>
      <c r="E33">
        <f t="shared" si="0"/>
        <v>62</v>
      </c>
      <c r="F33">
        <f t="shared" si="0"/>
        <v>93.99</v>
      </c>
      <c r="G33">
        <f t="shared" si="0"/>
        <v>78</v>
      </c>
      <c r="H33">
        <f t="shared" si="0"/>
        <v>98.06</v>
      </c>
      <c r="I33">
        <f t="shared" si="0"/>
        <v>50</v>
      </c>
      <c r="J33">
        <f t="shared" ref="J33:M33" si="1">SUM(J4,J10,J21,J30)</f>
        <v>89.59</v>
      </c>
      <c r="K33">
        <f t="shared" si="1"/>
        <v>47</v>
      </c>
      <c r="L33">
        <f t="shared" si="1"/>
        <v>96.38000000000001</v>
      </c>
      <c r="M33">
        <f t="shared" si="1"/>
        <v>80</v>
      </c>
    </row>
    <row r="34" spans="1:13" ht="16" x14ac:dyDescent="0.75">
      <c r="A34" s="1"/>
      <c r="B34" s="3"/>
    </row>
    <row r="35" spans="1:13" ht="16" x14ac:dyDescent="0.75">
      <c r="A35" s="3" t="s">
        <v>35</v>
      </c>
    </row>
  </sheetData>
  <mergeCells count="6">
    <mergeCell ref="J2:M2"/>
    <mergeCell ref="F1:I1"/>
    <mergeCell ref="B1:E1"/>
    <mergeCell ref="J1:M1"/>
    <mergeCell ref="B2:E2"/>
    <mergeCell ref="F2:I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zoomScale="80" zoomScaleNormal="80" workbookViewId="0">
      <selection activeCell="B44" sqref="B44"/>
    </sheetView>
  </sheetViews>
  <sheetFormatPr baseColWidth="10" defaultRowHeight="14.75" x14ac:dyDescent="0.75"/>
  <cols>
    <col min="1" max="1" width="11.40625" customWidth="1"/>
    <col min="2" max="2" width="66.86328125" style="1" customWidth="1"/>
    <col min="3" max="3" width="4.7265625" customWidth="1"/>
  </cols>
  <sheetData>
    <row r="1" spans="1:9" ht="19.25" thickBot="1" x14ac:dyDescent="1.05">
      <c r="C1" s="26"/>
      <c r="D1" s="70" t="s">
        <v>3</v>
      </c>
      <c r="E1" s="72"/>
      <c r="F1" s="70" t="s">
        <v>4</v>
      </c>
      <c r="G1" s="72"/>
      <c r="H1" s="70" t="s">
        <v>5</v>
      </c>
      <c r="I1" s="72"/>
    </row>
    <row r="2" spans="1:9" ht="15.5" thickBot="1" x14ac:dyDescent="0.9">
      <c r="C2" s="26"/>
      <c r="D2" s="59" t="s">
        <v>1</v>
      </c>
      <c r="E2" s="15" t="s">
        <v>2</v>
      </c>
      <c r="F2" s="20" t="s">
        <v>1</v>
      </c>
      <c r="G2" s="18" t="s">
        <v>2</v>
      </c>
      <c r="H2" s="27" t="s">
        <v>1</v>
      </c>
      <c r="I2" s="30" t="s">
        <v>2</v>
      </c>
    </row>
    <row r="3" spans="1:9" s="26" customFormat="1" ht="16" x14ac:dyDescent="0.75">
      <c r="A3" s="76" t="s">
        <v>6</v>
      </c>
      <c r="B3" s="39" t="s">
        <v>10</v>
      </c>
      <c r="C3" s="48" t="s">
        <v>41</v>
      </c>
      <c r="D3" s="40">
        <v>27</v>
      </c>
      <c r="E3" s="40">
        <v>9</v>
      </c>
      <c r="F3" s="40">
        <v>13</v>
      </c>
      <c r="G3" s="40">
        <v>4</v>
      </c>
      <c r="H3" s="40">
        <v>1</v>
      </c>
      <c r="I3" s="40">
        <v>18</v>
      </c>
    </row>
    <row r="4" spans="1:9" s="26" customFormat="1" ht="16" x14ac:dyDescent="0.75">
      <c r="A4" s="77"/>
      <c r="B4" s="41" t="s">
        <v>11</v>
      </c>
      <c r="C4" s="49" t="s">
        <v>42</v>
      </c>
      <c r="D4" s="33">
        <v>14</v>
      </c>
      <c r="E4" s="33">
        <v>0</v>
      </c>
      <c r="F4" s="33">
        <v>7</v>
      </c>
      <c r="G4" s="33">
        <v>0</v>
      </c>
      <c r="H4" s="33">
        <v>3</v>
      </c>
      <c r="I4" s="33">
        <v>2</v>
      </c>
    </row>
    <row r="5" spans="1:9" s="26" customFormat="1" ht="16" x14ac:dyDescent="0.75">
      <c r="A5" s="77"/>
      <c r="B5" s="41" t="s">
        <v>12</v>
      </c>
      <c r="C5" s="49" t="s">
        <v>37</v>
      </c>
      <c r="D5" s="33">
        <v>7</v>
      </c>
      <c r="E5" s="33">
        <v>0</v>
      </c>
      <c r="F5" s="33">
        <v>4</v>
      </c>
      <c r="G5" s="33">
        <v>0</v>
      </c>
      <c r="H5" s="33">
        <v>0</v>
      </c>
      <c r="I5" s="33">
        <v>1</v>
      </c>
    </row>
    <row r="6" spans="1:9" s="26" customFormat="1" ht="16" x14ac:dyDescent="0.75">
      <c r="A6" s="77"/>
      <c r="B6" s="41" t="s">
        <v>13</v>
      </c>
      <c r="C6" s="49" t="s">
        <v>36</v>
      </c>
      <c r="D6" s="33">
        <v>3</v>
      </c>
      <c r="E6" s="33">
        <v>1</v>
      </c>
      <c r="F6" s="33">
        <v>4</v>
      </c>
      <c r="G6" s="33">
        <v>0</v>
      </c>
      <c r="H6" s="33">
        <v>0</v>
      </c>
      <c r="I6" s="33">
        <v>2</v>
      </c>
    </row>
    <row r="7" spans="1:9" s="26" customFormat="1" ht="16.75" thickBot="1" x14ac:dyDescent="0.9">
      <c r="A7" s="78"/>
      <c r="B7" s="42" t="s">
        <v>14</v>
      </c>
      <c r="C7" s="50" t="s">
        <v>43</v>
      </c>
      <c r="D7" s="36">
        <v>2</v>
      </c>
      <c r="E7" s="36">
        <v>0</v>
      </c>
      <c r="F7" s="36">
        <v>1</v>
      </c>
      <c r="G7" s="36">
        <v>0</v>
      </c>
      <c r="H7" s="36">
        <v>0</v>
      </c>
      <c r="I7" s="36">
        <v>1</v>
      </c>
    </row>
    <row r="8" spans="1:9" s="26" customFormat="1" ht="16" x14ac:dyDescent="0.75">
      <c r="A8" s="79" t="s">
        <v>95</v>
      </c>
      <c r="B8" s="43" t="s">
        <v>15</v>
      </c>
      <c r="C8" s="51" t="s">
        <v>44</v>
      </c>
      <c r="D8" s="40">
        <v>39</v>
      </c>
      <c r="E8" s="40">
        <v>8</v>
      </c>
      <c r="F8" s="40">
        <v>14</v>
      </c>
      <c r="G8" s="40">
        <v>4</v>
      </c>
      <c r="H8" s="40">
        <v>14</v>
      </c>
      <c r="I8" s="40">
        <v>10</v>
      </c>
    </row>
    <row r="9" spans="1:9" s="26" customFormat="1" ht="16" x14ac:dyDescent="0.75">
      <c r="A9" s="80"/>
      <c r="B9" s="44" t="s">
        <v>16</v>
      </c>
      <c r="C9" s="52" t="s">
        <v>0</v>
      </c>
      <c r="D9" s="33">
        <v>23</v>
      </c>
      <c r="E9" s="33">
        <v>0</v>
      </c>
      <c r="F9" s="33">
        <v>3</v>
      </c>
      <c r="G9" s="33">
        <v>1</v>
      </c>
      <c r="H9" s="33">
        <v>2</v>
      </c>
      <c r="I9" s="33">
        <v>4</v>
      </c>
    </row>
    <row r="10" spans="1:9" s="26" customFormat="1" ht="16" x14ac:dyDescent="0.75">
      <c r="A10" s="80"/>
      <c r="B10" s="44" t="s">
        <v>17</v>
      </c>
      <c r="C10" s="52" t="s">
        <v>45</v>
      </c>
      <c r="D10" s="33">
        <v>5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</row>
    <row r="11" spans="1:9" s="26" customFormat="1" ht="16" x14ac:dyDescent="0.75">
      <c r="A11" s="80"/>
      <c r="B11" s="44" t="s">
        <v>18</v>
      </c>
      <c r="C11" s="52" t="s">
        <v>46</v>
      </c>
      <c r="D11" s="33">
        <v>3</v>
      </c>
      <c r="E11" s="33">
        <v>0</v>
      </c>
      <c r="F11" s="33">
        <v>1</v>
      </c>
      <c r="G11" s="33">
        <v>0</v>
      </c>
      <c r="H11" s="33">
        <v>0</v>
      </c>
      <c r="I11" s="33">
        <v>0</v>
      </c>
    </row>
    <row r="12" spans="1:9" s="26" customFormat="1" ht="16" x14ac:dyDescent="0.75">
      <c r="A12" s="80"/>
      <c r="B12" s="44" t="s">
        <v>19</v>
      </c>
      <c r="C12" s="52" t="s">
        <v>39</v>
      </c>
      <c r="D12" s="33">
        <v>1</v>
      </c>
      <c r="E12" s="33">
        <v>1</v>
      </c>
      <c r="F12" s="33">
        <v>0</v>
      </c>
      <c r="G12" s="33">
        <v>0</v>
      </c>
      <c r="H12" s="33">
        <v>1</v>
      </c>
      <c r="I12" s="33">
        <v>1</v>
      </c>
    </row>
    <row r="13" spans="1:9" s="26" customFormat="1" ht="16" x14ac:dyDescent="0.75">
      <c r="A13" s="80"/>
      <c r="B13" s="44" t="s">
        <v>20</v>
      </c>
      <c r="C13" s="52" t="s">
        <v>47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</row>
    <row r="14" spans="1:9" s="26" customFormat="1" ht="16" x14ac:dyDescent="0.75">
      <c r="A14" s="80"/>
      <c r="B14" s="44" t="s">
        <v>21</v>
      </c>
      <c r="C14" s="52" t="s">
        <v>48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</row>
    <row r="15" spans="1:9" s="26" customFormat="1" ht="16" x14ac:dyDescent="0.75">
      <c r="A15" s="80"/>
      <c r="B15" s="44" t="s">
        <v>22</v>
      </c>
      <c r="C15" s="52" t="s">
        <v>49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</row>
    <row r="16" spans="1:9" s="26" customFormat="1" ht="16" x14ac:dyDescent="0.75">
      <c r="A16" s="80"/>
      <c r="B16" s="44" t="s">
        <v>23</v>
      </c>
      <c r="C16" s="52" t="s">
        <v>49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</row>
    <row r="17" spans="1:9" s="26" customFormat="1" ht="16.75" thickBot="1" x14ac:dyDescent="0.9">
      <c r="A17" s="81"/>
      <c r="B17" s="45" t="s">
        <v>24</v>
      </c>
      <c r="C17" s="53" t="s">
        <v>50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</row>
    <row r="18" spans="1:9" s="26" customFormat="1" ht="13.5" customHeight="1" x14ac:dyDescent="0.75">
      <c r="A18" s="82" t="s">
        <v>8</v>
      </c>
      <c r="B18" s="67" t="s">
        <v>25</v>
      </c>
      <c r="C18" s="54" t="s">
        <v>51</v>
      </c>
      <c r="D18" s="40">
        <v>24</v>
      </c>
      <c r="E18" s="40">
        <v>5</v>
      </c>
      <c r="F18" s="40">
        <v>5</v>
      </c>
      <c r="G18" s="40">
        <v>4</v>
      </c>
      <c r="H18" s="40">
        <v>6</v>
      </c>
      <c r="I18" s="40">
        <v>6</v>
      </c>
    </row>
    <row r="19" spans="1:9" s="26" customFormat="1" ht="16" x14ac:dyDescent="0.75">
      <c r="A19" s="83"/>
      <c r="B19" s="68" t="s">
        <v>26</v>
      </c>
      <c r="C19" s="55" t="s">
        <v>52</v>
      </c>
      <c r="D19" s="33">
        <v>22</v>
      </c>
      <c r="E19" s="33">
        <v>13</v>
      </c>
      <c r="F19" s="33">
        <v>4</v>
      </c>
      <c r="G19" s="33">
        <v>8</v>
      </c>
      <c r="H19" s="33">
        <v>5</v>
      </c>
      <c r="I19" s="33">
        <v>7</v>
      </c>
    </row>
    <row r="20" spans="1:9" s="26" customFormat="1" ht="16" x14ac:dyDescent="0.75">
      <c r="A20" s="83"/>
      <c r="B20" s="68" t="s">
        <v>27</v>
      </c>
      <c r="C20" s="55" t="s">
        <v>53</v>
      </c>
      <c r="D20" s="33">
        <v>15</v>
      </c>
      <c r="E20" s="33">
        <v>5</v>
      </c>
      <c r="F20" s="33">
        <v>4</v>
      </c>
      <c r="G20" s="33">
        <v>10</v>
      </c>
      <c r="H20" s="33">
        <v>2</v>
      </c>
      <c r="I20" s="33">
        <v>9</v>
      </c>
    </row>
    <row r="21" spans="1:9" s="26" customFormat="1" ht="16" x14ac:dyDescent="0.75">
      <c r="A21" s="83"/>
      <c r="B21" s="68" t="s">
        <v>28</v>
      </c>
      <c r="C21" s="55" t="s">
        <v>54</v>
      </c>
      <c r="D21" s="33">
        <v>14</v>
      </c>
      <c r="E21" s="33">
        <v>2</v>
      </c>
      <c r="F21" s="33">
        <v>1</v>
      </c>
      <c r="G21" s="33">
        <v>5</v>
      </c>
      <c r="H21" s="33">
        <v>2</v>
      </c>
      <c r="I21" s="33">
        <v>8</v>
      </c>
    </row>
    <row r="22" spans="1:9" s="26" customFormat="1" ht="16" x14ac:dyDescent="0.75">
      <c r="A22" s="83"/>
      <c r="B22" s="68" t="s">
        <v>29</v>
      </c>
      <c r="C22" s="55" t="s">
        <v>55</v>
      </c>
      <c r="D22" s="33">
        <v>7</v>
      </c>
      <c r="E22" s="33">
        <v>0</v>
      </c>
      <c r="F22" s="33">
        <v>3</v>
      </c>
      <c r="G22" s="33">
        <v>0</v>
      </c>
      <c r="H22" s="33">
        <v>1</v>
      </c>
      <c r="I22" s="33">
        <v>1</v>
      </c>
    </row>
    <row r="23" spans="1:9" s="26" customFormat="1" ht="16" x14ac:dyDescent="0.75">
      <c r="A23" s="83"/>
      <c r="B23" s="68" t="s">
        <v>30</v>
      </c>
      <c r="C23" s="55" t="s">
        <v>56</v>
      </c>
      <c r="D23" s="33">
        <v>6</v>
      </c>
      <c r="E23" s="33">
        <v>1</v>
      </c>
      <c r="F23" s="33">
        <v>2</v>
      </c>
      <c r="G23" s="33">
        <v>3</v>
      </c>
      <c r="H23" s="33">
        <v>0</v>
      </c>
      <c r="I23" s="33">
        <v>4</v>
      </c>
    </row>
    <row r="24" spans="1:9" s="26" customFormat="1" ht="16" x14ac:dyDescent="0.75">
      <c r="A24" s="83"/>
      <c r="B24" s="68" t="s">
        <v>31</v>
      </c>
      <c r="C24" s="55" t="s">
        <v>57</v>
      </c>
      <c r="D24" s="33">
        <v>3</v>
      </c>
      <c r="E24" s="33">
        <v>1</v>
      </c>
      <c r="F24" s="33">
        <v>1</v>
      </c>
      <c r="G24" s="33">
        <v>1</v>
      </c>
      <c r="H24" s="33">
        <v>1</v>
      </c>
      <c r="I24" s="33">
        <v>3</v>
      </c>
    </row>
    <row r="25" spans="1:9" s="26" customFormat="1" ht="16.75" thickBot="1" x14ac:dyDescent="0.9">
      <c r="A25" s="84"/>
      <c r="B25" s="69" t="s">
        <v>32</v>
      </c>
      <c r="C25" s="56" t="s">
        <v>58</v>
      </c>
      <c r="D25" s="36">
        <v>2</v>
      </c>
      <c r="E25" s="36">
        <v>3</v>
      </c>
      <c r="F25" s="36">
        <v>1</v>
      </c>
      <c r="G25" s="36">
        <v>0</v>
      </c>
      <c r="H25" s="36">
        <v>3</v>
      </c>
      <c r="I25" s="36">
        <v>0</v>
      </c>
    </row>
    <row r="26" spans="1:9" s="26" customFormat="1" ht="13.5" customHeight="1" x14ac:dyDescent="0.75">
      <c r="A26" s="74" t="s">
        <v>9</v>
      </c>
      <c r="B26" s="46" t="s">
        <v>33</v>
      </c>
      <c r="C26" s="57" t="s">
        <v>59</v>
      </c>
      <c r="D26" s="40">
        <v>34</v>
      </c>
      <c r="E26" s="40">
        <v>13</v>
      </c>
      <c r="F26" s="40">
        <v>10</v>
      </c>
      <c r="G26" s="40">
        <v>10</v>
      </c>
      <c r="H26" s="40">
        <v>6</v>
      </c>
      <c r="I26" s="40">
        <v>3</v>
      </c>
    </row>
    <row r="27" spans="1:9" s="26" customFormat="1" ht="16.75" thickBot="1" x14ac:dyDescent="0.9">
      <c r="A27" s="75"/>
      <c r="B27" s="47" t="s">
        <v>34</v>
      </c>
      <c r="C27" s="58" t="s">
        <v>60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</row>
    <row r="28" spans="1:9" x14ac:dyDescent="0.75">
      <c r="C28" s="37"/>
      <c r="D28" s="38"/>
      <c r="E28" s="38"/>
      <c r="F28" s="38"/>
      <c r="G28" s="38"/>
      <c r="H28" s="38"/>
      <c r="I28" s="38"/>
    </row>
    <row r="29" spans="1:9" x14ac:dyDescent="0.75">
      <c r="D29" s="38"/>
      <c r="E29" s="38"/>
      <c r="F29" s="38"/>
      <c r="G29" s="38"/>
      <c r="H29" s="38"/>
      <c r="I29" s="38"/>
    </row>
  </sheetData>
  <mergeCells count="7">
    <mergeCell ref="A26:A27"/>
    <mergeCell ref="D1:E1"/>
    <mergeCell ref="F1:G1"/>
    <mergeCell ref="H1:I1"/>
    <mergeCell ref="A3:A7"/>
    <mergeCell ref="A8:A17"/>
    <mergeCell ref="A18:A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opLeftCell="A16" workbookViewId="0">
      <selection activeCell="N42" sqref="N42"/>
    </sheetView>
  </sheetViews>
  <sheetFormatPr baseColWidth="10" defaultRowHeight="14.75" x14ac:dyDescent="0.75"/>
  <cols>
    <col min="1" max="1" width="51.54296875" customWidth="1"/>
  </cols>
  <sheetData>
    <row r="1" spans="1:13" ht="15.75" customHeight="1" thickBot="1" x14ac:dyDescent="0.9">
      <c r="B1" s="73" t="s">
        <v>36</v>
      </c>
      <c r="C1" s="73"/>
      <c r="D1" s="73"/>
      <c r="E1" s="73"/>
      <c r="F1" s="73" t="s">
        <v>37</v>
      </c>
      <c r="G1" s="73"/>
      <c r="H1" s="73"/>
      <c r="I1" s="73"/>
      <c r="J1" s="73" t="s">
        <v>39</v>
      </c>
      <c r="K1" s="73"/>
      <c r="L1" s="73"/>
      <c r="M1" s="73"/>
    </row>
    <row r="2" spans="1:13" ht="19.25" thickBot="1" x14ac:dyDescent="1.05">
      <c r="B2" s="70" t="s">
        <v>3</v>
      </c>
      <c r="C2" s="71"/>
      <c r="D2" s="71"/>
      <c r="E2" s="72"/>
      <c r="F2" s="70" t="s">
        <v>4</v>
      </c>
      <c r="G2" s="71"/>
      <c r="H2" s="71"/>
      <c r="I2" s="72"/>
      <c r="J2" s="70" t="s">
        <v>5</v>
      </c>
      <c r="K2" s="71"/>
      <c r="L2" s="71"/>
      <c r="M2" s="72"/>
    </row>
    <row r="3" spans="1:13" ht="16.5" customHeight="1" thickBot="1" x14ac:dyDescent="0.9">
      <c r="B3" s="93" t="s">
        <v>1</v>
      </c>
      <c r="C3" s="94"/>
      <c r="D3" s="95" t="s">
        <v>2</v>
      </c>
      <c r="E3" s="96"/>
      <c r="F3" s="85" t="s">
        <v>1</v>
      </c>
      <c r="G3" s="86"/>
      <c r="H3" s="87" t="s">
        <v>2</v>
      </c>
      <c r="I3" s="88"/>
      <c r="J3" s="89" t="s">
        <v>1</v>
      </c>
      <c r="K3" s="90"/>
      <c r="L3" s="91" t="s">
        <v>2</v>
      </c>
      <c r="M3" s="92"/>
    </row>
    <row r="4" spans="1:13" ht="16.5" customHeight="1" x14ac:dyDescent="0.8">
      <c r="A4" s="65" t="s">
        <v>81</v>
      </c>
      <c r="B4" s="64" t="s">
        <v>80</v>
      </c>
      <c r="C4" s="64" t="s">
        <v>79</v>
      </c>
      <c r="D4" s="64" t="s">
        <v>80</v>
      </c>
      <c r="E4" s="64" t="s">
        <v>79</v>
      </c>
      <c r="F4" t="s">
        <v>80</v>
      </c>
      <c r="G4" t="s">
        <v>79</v>
      </c>
      <c r="H4" t="s">
        <v>80</v>
      </c>
      <c r="I4" t="s">
        <v>79</v>
      </c>
      <c r="J4" t="s">
        <v>80</v>
      </c>
      <c r="K4" t="s">
        <v>79</v>
      </c>
      <c r="L4" t="s">
        <v>80</v>
      </c>
      <c r="M4" t="s">
        <v>79</v>
      </c>
    </row>
    <row r="5" spans="1:13" s="26" customFormat="1" ht="16.5" customHeight="1" x14ac:dyDescent="0.75">
      <c r="A5" s="61" t="s">
        <v>61</v>
      </c>
      <c r="B5" s="62">
        <v>23</v>
      </c>
      <c r="C5" s="62">
        <v>7</v>
      </c>
      <c r="D5" s="60">
        <v>-4</v>
      </c>
      <c r="E5" s="60">
        <v>-3</v>
      </c>
    </row>
    <row r="6" spans="1:13" s="26" customFormat="1" ht="16.5" customHeight="1" x14ac:dyDescent="0.75">
      <c r="A6" s="61" t="s">
        <v>62</v>
      </c>
      <c r="B6" s="62">
        <v>20</v>
      </c>
      <c r="C6" s="62">
        <v>3</v>
      </c>
      <c r="D6" s="63"/>
      <c r="E6" s="63"/>
    </row>
    <row r="7" spans="1:13" s="26" customFormat="1" ht="16.5" customHeight="1" x14ac:dyDescent="0.75">
      <c r="A7" s="61" t="s">
        <v>63</v>
      </c>
      <c r="B7" s="62">
        <v>16</v>
      </c>
      <c r="C7" s="62">
        <v>13</v>
      </c>
      <c r="D7" s="60">
        <v>-6</v>
      </c>
      <c r="E7" s="60">
        <v>-5</v>
      </c>
    </row>
    <row r="8" spans="1:13" s="26" customFormat="1" ht="16.5" customHeight="1" x14ac:dyDescent="0.75">
      <c r="A8" s="61" t="s">
        <v>64</v>
      </c>
      <c r="B8" s="62">
        <v>7</v>
      </c>
      <c r="C8" s="62">
        <v>6</v>
      </c>
      <c r="D8" s="63"/>
      <c r="E8" s="63"/>
    </row>
    <row r="9" spans="1:13" s="26" customFormat="1" ht="16.5" customHeight="1" x14ac:dyDescent="0.75">
      <c r="A9" s="61" t="s">
        <v>65</v>
      </c>
      <c r="B9" s="62">
        <v>7</v>
      </c>
      <c r="C9" s="62">
        <v>8</v>
      </c>
      <c r="D9" s="60">
        <v>-4</v>
      </c>
      <c r="E9" s="60">
        <v>-4</v>
      </c>
    </row>
    <row r="10" spans="1:13" s="26" customFormat="1" ht="16.5" customHeight="1" x14ac:dyDescent="0.75">
      <c r="A10" s="61" t="s">
        <v>66</v>
      </c>
      <c r="B10" s="62">
        <v>7</v>
      </c>
      <c r="C10" s="62">
        <v>7</v>
      </c>
      <c r="D10" s="63"/>
      <c r="E10" s="63"/>
    </row>
    <row r="11" spans="1:13" s="26" customFormat="1" ht="16.5" customHeight="1" x14ac:dyDescent="0.75">
      <c r="A11" s="61" t="s">
        <v>67</v>
      </c>
      <c r="B11" s="62">
        <v>7</v>
      </c>
      <c r="C11" s="62">
        <v>5</v>
      </c>
      <c r="D11" s="63"/>
      <c r="E11" s="63"/>
    </row>
    <row r="12" spans="1:13" s="26" customFormat="1" ht="16.5" customHeight="1" x14ac:dyDescent="0.75">
      <c r="A12" s="61" t="s">
        <v>68</v>
      </c>
      <c r="B12" s="62">
        <v>6</v>
      </c>
      <c r="C12" s="62">
        <v>7</v>
      </c>
      <c r="D12" s="63"/>
      <c r="E12" s="63"/>
    </row>
    <row r="13" spans="1:13" s="26" customFormat="1" ht="16.5" customHeight="1" x14ac:dyDescent="0.75">
      <c r="A13" s="61" t="s">
        <v>69</v>
      </c>
      <c r="B13" s="62">
        <v>6</v>
      </c>
      <c r="C13" s="62">
        <v>7</v>
      </c>
      <c r="D13" s="60">
        <v>-4</v>
      </c>
      <c r="E13" s="60">
        <v>-4</v>
      </c>
    </row>
    <row r="14" spans="1:13" s="26" customFormat="1" ht="16.5" customHeight="1" x14ac:dyDescent="0.75">
      <c r="A14" s="61" t="s">
        <v>70</v>
      </c>
      <c r="B14" s="62">
        <v>6</v>
      </c>
      <c r="C14" s="62">
        <v>6</v>
      </c>
      <c r="D14" s="60">
        <v>-6</v>
      </c>
      <c r="E14" s="60">
        <v>-5</v>
      </c>
    </row>
    <row r="15" spans="1:13" s="26" customFormat="1" ht="16.5" customHeight="1" x14ac:dyDescent="0.75">
      <c r="A15" s="61" t="s">
        <v>71</v>
      </c>
      <c r="B15" s="62">
        <v>6</v>
      </c>
      <c r="C15" s="62">
        <v>6</v>
      </c>
      <c r="D15" s="63"/>
      <c r="E15" s="63"/>
    </row>
    <row r="16" spans="1:13" s="26" customFormat="1" ht="16.5" customHeight="1" x14ac:dyDescent="0.75">
      <c r="A16" s="61" t="s">
        <v>72</v>
      </c>
      <c r="B16" s="62">
        <v>6</v>
      </c>
      <c r="C16" s="62">
        <v>6</v>
      </c>
      <c r="D16" s="63"/>
      <c r="E16" s="63"/>
    </row>
    <row r="17" spans="1:5" s="26" customFormat="1" ht="16.5" customHeight="1" x14ac:dyDescent="0.75">
      <c r="A17" s="61" t="s">
        <v>73</v>
      </c>
      <c r="B17" s="62">
        <v>5</v>
      </c>
      <c r="C17" s="62">
        <v>4</v>
      </c>
      <c r="D17" s="60">
        <v>-4</v>
      </c>
      <c r="E17" s="60">
        <v>-4</v>
      </c>
    </row>
    <row r="18" spans="1:5" s="26" customFormat="1" ht="16.5" customHeight="1" x14ac:dyDescent="0.75">
      <c r="A18" s="61" t="s">
        <v>74</v>
      </c>
      <c r="B18" s="62">
        <v>5</v>
      </c>
      <c r="C18" s="62">
        <v>6</v>
      </c>
      <c r="D18" s="63"/>
      <c r="E18" s="63"/>
    </row>
    <row r="19" spans="1:5" s="26" customFormat="1" ht="16.5" customHeight="1" x14ac:dyDescent="0.75">
      <c r="A19" s="61" t="s">
        <v>75</v>
      </c>
      <c r="B19" s="62">
        <v>4</v>
      </c>
      <c r="C19" s="62">
        <v>3</v>
      </c>
      <c r="D19" s="60">
        <v>-3</v>
      </c>
      <c r="E19" s="60">
        <v>-2</v>
      </c>
    </row>
    <row r="20" spans="1:5" s="26" customFormat="1" ht="16.5" customHeight="1" x14ac:dyDescent="0.75">
      <c r="A20" s="61" t="s">
        <v>76</v>
      </c>
      <c r="B20" s="62">
        <v>4</v>
      </c>
      <c r="C20" s="62">
        <v>2</v>
      </c>
      <c r="D20" s="63"/>
      <c r="E20" s="63"/>
    </row>
    <row r="21" spans="1:5" s="26" customFormat="1" ht="16" x14ac:dyDescent="0.75">
      <c r="A21" s="61" t="s">
        <v>77</v>
      </c>
      <c r="B21" s="62">
        <v>4</v>
      </c>
      <c r="C21" s="62">
        <v>4</v>
      </c>
      <c r="D21" s="63"/>
      <c r="E21" s="63"/>
    </row>
    <row r="22" spans="1:5" s="26" customFormat="1" ht="16" x14ac:dyDescent="0.75">
      <c r="A22" s="61" t="s">
        <v>78</v>
      </c>
      <c r="B22" s="62">
        <v>4</v>
      </c>
      <c r="C22" s="62">
        <v>4</v>
      </c>
      <c r="D22" s="60">
        <v>-4</v>
      </c>
      <c r="E22" s="60">
        <v>-2</v>
      </c>
    </row>
  </sheetData>
  <mergeCells count="12">
    <mergeCell ref="F3:G3"/>
    <mergeCell ref="H3:I3"/>
    <mergeCell ref="J3:K3"/>
    <mergeCell ref="L3:M3"/>
    <mergeCell ref="B1:E1"/>
    <mergeCell ref="F1:I1"/>
    <mergeCell ref="J1:M1"/>
    <mergeCell ref="B2:E2"/>
    <mergeCell ref="F2:I2"/>
    <mergeCell ref="J2:M2"/>
    <mergeCell ref="B3:C3"/>
    <mergeCell ref="D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topLeftCell="A19" workbookViewId="0">
      <selection activeCell="L35" sqref="L35"/>
    </sheetView>
  </sheetViews>
  <sheetFormatPr baseColWidth="10" defaultRowHeight="14.75" x14ac:dyDescent="0.75"/>
  <cols>
    <col min="1" max="1" width="51.54296875" customWidth="1"/>
  </cols>
  <sheetData>
    <row r="1" spans="1:9" ht="15.75" customHeight="1" thickBot="1" x14ac:dyDescent="0.9">
      <c r="B1" s="73" t="s">
        <v>37</v>
      </c>
      <c r="C1" s="73"/>
      <c r="D1" s="73"/>
      <c r="E1" s="73"/>
      <c r="F1" s="73"/>
      <c r="G1" s="73"/>
      <c r="H1" s="73"/>
      <c r="I1" s="73"/>
    </row>
    <row r="2" spans="1:9" ht="19.25" thickBot="1" x14ac:dyDescent="1.05">
      <c r="B2" s="70" t="s">
        <v>4</v>
      </c>
      <c r="C2" s="71"/>
      <c r="D2" s="71"/>
      <c r="E2" s="72"/>
      <c r="F2" s="70"/>
      <c r="G2" s="71"/>
      <c r="H2" s="71"/>
      <c r="I2" s="72"/>
    </row>
    <row r="3" spans="1:9" ht="16.5" customHeight="1" thickBot="1" x14ac:dyDescent="0.9">
      <c r="B3" s="97" t="s">
        <v>1</v>
      </c>
      <c r="C3" s="98"/>
      <c r="D3" s="99" t="s">
        <v>2</v>
      </c>
      <c r="E3" s="100"/>
      <c r="F3" s="89" t="s">
        <v>1</v>
      </c>
      <c r="G3" s="90"/>
      <c r="H3" s="91" t="s">
        <v>2</v>
      </c>
      <c r="I3" s="92"/>
    </row>
    <row r="4" spans="1:9" ht="16.5" customHeight="1" x14ac:dyDescent="0.8">
      <c r="A4" s="65" t="s">
        <v>81</v>
      </c>
      <c r="B4" s="60" t="s">
        <v>80</v>
      </c>
      <c r="C4" s="60" t="s">
        <v>79</v>
      </c>
      <c r="D4" s="60" t="s">
        <v>80</v>
      </c>
      <c r="E4" s="60" t="s">
        <v>79</v>
      </c>
      <c r="F4" t="s">
        <v>80</v>
      </c>
      <c r="G4" t="s">
        <v>79</v>
      </c>
      <c r="H4" t="s">
        <v>80</v>
      </c>
      <c r="I4" t="s">
        <v>79</v>
      </c>
    </row>
    <row r="5" spans="1:9" s="26" customFormat="1" ht="16.5" customHeight="1" x14ac:dyDescent="0.75">
      <c r="A5" s="61" t="s">
        <v>61</v>
      </c>
      <c r="B5" s="63">
        <v>7</v>
      </c>
      <c r="C5" s="63">
        <v>4</v>
      </c>
      <c r="D5" s="63"/>
      <c r="E5" s="63"/>
    </row>
    <row r="6" spans="1:9" s="26" customFormat="1" ht="16.5" customHeight="1" x14ac:dyDescent="0.75">
      <c r="A6" s="61" t="s">
        <v>62</v>
      </c>
      <c r="B6" s="63">
        <v>5</v>
      </c>
      <c r="C6" s="63">
        <v>1</v>
      </c>
      <c r="D6" s="63"/>
      <c r="E6" s="63"/>
    </row>
    <row r="7" spans="1:9" s="26" customFormat="1" ht="16.5" customHeight="1" x14ac:dyDescent="0.75">
      <c r="A7" s="61" t="s">
        <v>63</v>
      </c>
      <c r="B7" s="63">
        <v>2</v>
      </c>
      <c r="C7" s="63">
        <v>3</v>
      </c>
      <c r="D7" s="63">
        <v>-3</v>
      </c>
      <c r="E7" s="63">
        <v>-3</v>
      </c>
    </row>
    <row r="8" spans="1:9" s="26" customFormat="1" ht="16.5" customHeight="1" x14ac:dyDescent="0.75">
      <c r="A8" s="61" t="s">
        <v>73</v>
      </c>
      <c r="B8" s="63">
        <v>3</v>
      </c>
      <c r="C8" s="63">
        <v>3</v>
      </c>
      <c r="D8" s="63"/>
      <c r="E8" s="63"/>
    </row>
    <row r="9" spans="1:9" s="26" customFormat="1" ht="16.5" customHeight="1" x14ac:dyDescent="0.75">
      <c r="A9" s="61" t="s">
        <v>74</v>
      </c>
      <c r="B9" s="63"/>
      <c r="C9" s="63"/>
      <c r="D9" s="63">
        <v>-3</v>
      </c>
      <c r="E9" s="63">
        <v>-4</v>
      </c>
    </row>
    <row r="10" spans="1:9" s="26" customFormat="1" ht="16.5" customHeight="1" x14ac:dyDescent="0.75">
      <c r="A10" s="61" t="s">
        <v>75</v>
      </c>
      <c r="B10" s="63">
        <v>4</v>
      </c>
      <c r="C10" s="63">
        <v>3</v>
      </c>
      <c r="D10" s="63"/>
      <c r="E10" s="63"/>
    </row>
    <row r="11" spans="1:9" s="26" customFormat="1" ht="16.5" customHeight="1" x14ac:dyDescent="0.75">
      <c r="A11" s="61" t="s">
        <v>78</v>
      </c>
      <c r="B11" s="63">
        <v>2</v>
      </c>
      <c r="C11" s="63">
        <v>2</v>
      </c>
      <c r="D11" s="63"/>
      <c r="E11" s="63"/>
    </row>
    <row r="12" spans="1:9" s="26" customFormat="1" ht="16.5" customHeight="1" x14ac:dyDescent="0.75">
      <c r="A12" s="63" t="s">
        <v>82</v>
      </c>
      <c r="B12" s="63"/>
      <c r="C12" s="63"/>
      <c r="D12" s="63">
        <v>-5</v>
      </c>
      <c r="E12" s="63">
        <v>-4</v>
      </c>
    </row>
    <row r="13" spans="1:9" s="26" customFormat="1" ht="16.5" customHeight="1" x14ac:dyDescent="0.75">
      <c r="A13" s="63" t="s">
        <v>83</v>
      </c>
      <c r="B13" s="63"/>
      <c r="C13" s="63"/>
      <c r="D13" s="63">
        <v>-4</v>
      </c>
      <c r="E13" s="63">
        <v>-3</v>
      </c>
    </row>
    <row r="14" spans="1:9" s="26" customFormat="1" ht="16.5" customHeight="1" x14ac:dyDescent="0.75">
      <c r="A14" s="63" t="s">
        <v>84</v>
      </c>
      <c r="B14" s="63"/>
      <c r="C14" s="63"/>
      <c r="D14" s="63">
        <v>-4</v>
      </c>
      <c r="E14" s="63">
        <v>-3</v>
      </c>
    </row>
    <row r="15" spans="1:9" s="26" customFormat="1" ht="16.5" customHeight="1" x14ac:dyDescent="0.75">
      <c r="A15" s="63" t="s">
        <v>85</v>
      </c>
      <c r="B15" s="63"/>
      <c r="C15" s="63"/>
      <c r="D15" s="63">
        <v>-4</v>
      </c>
      <c r="E15" s="63">
        <v>-5</v>
      </c>
    </row>
    <row r="16" spans="1:9" s="26" customFormat="1" ht="16.5" customHeight="1" x14ac:dyDescent="0.75">
      <c r="A16" s="63" t="s">
        <v>86</v>
      </c>
      <c r="B16" s="63"/>
      <c r="C16" s="63"/>
      <c r="D16" s="63">
        <v>-3</v>
      </c>
      <c r="E16" s="63">
        <v>-3</v>
      </c>
    </row>
    <row r="17" spans="1:5" s="26" customFormat="1" ht="16.5" customHeight="1" x14ac:dyDescent="0.75">
      <c r="A17" s="63" t="s">
        <v>87</v>
      </c>
      <c r="B17" s="63"/>
      <c r="C17" s="63"/>
      <c r="D17" s="63">
        <v>-3</v>
      </c>
      <c r="E17" s="63">
        <v>-2</v>
      </c>
    </row>
    <row r="18" spans="1:5" s="26" customFormat="1" ht="16.5" customHeight="1" x14ac:dyDescent="0.75">
      <c r="A18" s="63" t="s">
        <v>68</v>
      </c>
      <c r="B18" s="63"/>
      <c r="C18" s="63"/>
      <c r="D18" s="63">
        <v>-3</v>
      </c>
      <c r="E18" s="63">
        <v>-3</v>
      </c>
    </row>
    <row r="19" spans="1:5" s="26" customFormat="1" x14ac:dyDescent="0.75">
      <c r="A19" s="63" t="s">
        <v>88</v>
      </c>
      <c r="B19" s="63"/>
      <c r="C19" s="63"/>
      <c r="D19" s="63">
        <v>-3</v>
      </c>
      <c r="E19" s="63">
        <v>-2</v>
      </c>
    </row>
    <row r="20" spans="1:5" s="26" customFormat="1" x14ac:dyDescent="0.75">
      <c r="A20" s="63" t="s">
        <v>89</v>
      </c>
      <c r="B20" s="63"/>
      <c r="C20" s="63"/>
      <c r="D20" s="63">
        <v>-3</v>
      </c>
      <c r="E20" s="63">
        <v>-2</v>
      </c>
    </row>
    <row r="21" spans="1:5" x14ac:dyDescent="0.75">
      <c r="A21" s="63" t="s">
        <v>90</v>
      </c>
      <c r="B21" s="60"/>
      <c r="C21" s="60"/>
      <c r="D21" s="63">
        <v>-3</v>
      </c>
      <c r="E21" s="63">
        <v>-2</v>
      </c>
    </row>
    <row r="22" spans="1:5" x14ac:dyDescent="0.75">
      <c r="A22" s="63" t="s">
        <v>91</v>
      </c>
      <c r="B22" s="60"/>
      <c r="C22" s="60"/>
      <c r="D22" s="63">
        <v>-3</v>
      </c>
      <c r="E22" s="63">
        <v>-3</v>
      </c>
    </row>
  </sheetData>
  <mergeCells count="8">
    <mergeCell ref="B3:C3"/>
    <mergeCell ref="D3:E3"/>
    <mergeCell ref="F3:G3"/>
    <mergeCell ref="H3:I3"/>
    <mergeCell ref="B1:E1"/>
    <mergeCell ref="F1:I1"/>
    <mergeCell ref="B2:E2"/>
    <mergeCell ref="F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topLeftCell="A10" workbookViewId="0">
      <selection activeCell="E55" sqref="E55"/>
    </sheetView>
  </sheetViews>
  <sheetFormatPr baseColWidth="10" defaultRowHeight="14.75" x14ac:dyDescent="0.75"/>
  <cols>
    <col min="1" max="1" width="51.54296875" customWidth="1"/>
    <col min="8" max="8" width="26.26953125" customWidth="1"/>
  </cols>
  <sheetData>
    <row r="1" spans="1:5" ht="15.75" customHeight="1" thickBot="1" x14ac:dyDescent="0.9">
      <c r="B1" s="73" t="s">
        <v>39</v>
      </c>
      <c r="C1" s="73"/>
      <c r="D1" s="73"/>
      <c r="E1" s="73"/>
    </row>
    <row r="2" spans="1:5" ht="19.25" thickBot="1" x14ac:dyDescent="1.05">
      <c r="B2" s="70" t="s">
        <v>5</v>
      </c>
      <c r="C2" s="71"/>
      <c r="D2" s="71"/>
      <c r="E2" s="72"/>
    </row>
    <row r="3" spans="1:5" ht="16.5" customHeight="1" thickBot="1" x14ac:dyDescent="0.9">
      <c r="B3" s="89" t="s">
        <v>1</v>
      </c>
      <c r="C3" s="90"/>
      <c r="D3" s="91" t="s">
        <v>2</v>
      </c>
      <c r="E3" s="92"/>
    </row>
    <row r="4" spans="1:5" ht="16.5" customHeight="1" x14ac:dyDescent="0.8">
      <c r="A4" s="65" t="s">
        <v>81</v>
      </c>
      <c r="B4" t="s">
        <v>80</v>
      </c>
      <c r="C4" t="s">
        <v>79</v>
      </c>
      <c r="D4" t="s">
        <v>80</v>
      </c>
      <c r="E4" t="s">
        <v>79</v>
      </c>
    </row>
    <row r="5" spans="1:5" s="26" customFormat="1" ht="16.5" customHeight="1" x14ac:dyDescent="0.75">
      <c r="A5" s="26" t="s">
        <v>75</v>
      </c>
      <c r="B5" s="26">
        <v>3</v>
      </c>
      <c r="C5" s="26">
        <v>2</v>
      </c>
    </row>
    <row r="6" spans="1:5" s="26" customFormat="1" ht="16.5" customHeight="1" x14ac:dyDescent="0.75">
      <c r="A6" s="26" t="s">
        <v>68</v>
      </c>
      <c r="B6" s="26">
        <v>3</v>
      </c>
      <c r="C6" s="26">
        <v>4</v>
      </c>
    </row>
    <row r="7" spans="1:5" s="26" customFormat="1" ht="16.5" customHeight="1" x14ac:dyDescent="0.75">
      <c r="A7" s="26" t="s">
        <v>64</v>
      </c>
      <c r="B7" s="26">
        <v>2</v>
      </c>
      <c r="C7" s="26">
        <v>2</v>
      </c>
    </row>
    <row r="8" spans="1:5" s="26" customFormat="1" ht="16.5" customHeight="1" x14ac:dyDescent="0.75">
      <c r="A8" s="26" t="s">
        <v>92</v>
      </c>
      <c r="B8" s="26">
        <v>2</v>
      </c>
      <c r="C8" s="26">
        <v>1</v>
      </c>
    </row>
    <row r="9" spans="1:5" s="26" customFormat="1" ht="16.5" customHeight="1" x14ac:dyDescent="0.75">
      <c r="A9" s="66" t="s">
        <v>61</v>
      </c>
      <c r="D9" s="34">
        <v>-8</v>
      </c>
      <c r="E9" s="26">
        <v>-5</v>
      </c>
    </row>
    <row r="10" spans="1:5" s="26" customFormat="1" ht="16.5" customHeight="1" x14ac:dyDescent="0.75">
      <c r="A10" s="66" t="s">
        <v>63</v>
      </c>
      <c r="D10" s="34">
        <v>-5</v>
      </c>
      <c r="E10" s="26">
        <v>-5</v>
      </c>
    </row>
    <row r="11" spans="1:5" s="26" customFormat="1" ht="16.5" customHeight="1" x14ac:dyDescent="0.75">
      <c r="A11" s="66" t="s">
        <v>74</v>
      </c>
      <c r="D11" s="34">
        <v>-4</v>
      </c>
      <c r="E11" s="26">
        <v>-5</v>
      </c>
    </row>
    <row r="12" spans="1:5" s="26" customFormat="1" ht="16.5" customHeight="1" x14ac:dyDescent="0.75">
      <c r="A12" s="66" t="s">
        <v>86</v>
      </c>
      <c r="D12" s="34">
        <v>-4</v>
      </c>
      <c r="E12" s="26">
        <v>-4</v>
      </c>
    </row>
    <row r="13" spans="1:5" s="26" customFormat="1" ht="16.5" customHeight="1" x14ac:dyDescent="0.75">
      <c r="A13" s="66" t="s">
        <v>62</v>
      </c>
      <c r="D13" s="34">
        <v>-4</v>
      </c>
      <c r="E13" s="26">
        <v>-1</v>
      </c>
    </row>
    <row r="14" spans="1:5" s="26" customFormat="1" ht="16.5" customHeight="1" x14ac:dyDescent="0.75">
      <c r="A14" s="66" t="s">
        <v>93</v>
      </c>
      <c r="D14" s="34">
        <v>-3</v>
      </c>
      <c r="E14" s="26">
        <v>-5</v>
      </c>
    </row>
    <row r="15" spans="1:5" s="26" customFormat="1" ht="16.5" customHeight="1" x14ac:dyDescent="0.75">
      <c r="A15" s="66" t="s">
        <v>83</v>
      </c>
      <c r="D15" s="34">
        <v>-3</v>
      </c>
      <c r="E15" s="26">
        <v>-2</v>
      </c>
    </row>
    <row r="16" spans="1:5" s="26" customFormat="1" ht="16.5" customHeight="1" x14ac:dyDescent="0.75">
      <c r="A16" s="66" t="s">
        <v>70</v>
      </c>
      <c r="D16" s="34">
        <v>-3</v>
      </c>
      <c r="E16" s="26">
        <v>-2</v>
      </c>
    </row>
    <row r="17" spans="1:5" s="26" customFormat="1" ht="16.5" customHeight="1" x14ac:dyDescent="0.75">
      <c r="A17" s="66" t="s">
        <v>94</v>
      </c>
      <c r="D17" s="34">
        <v>-3</v>
      </c>
      <c r="E17" s="34">
        <v>-3</v>
      </c>
    </row>
    <row r="18" spans="1:5" s="26" customFormat="1" ht="16.5" customHeight="1" x14ac:dyDescent="0.75">
      <c r="A18" s="66" t="s">
        <v>82</v>
      </c>
      <c r="D18" s="34">
        <v>-3</v>
      </c>
      <c r="E18" s="34">
        <v>-3</v>
      </c>
    </row>
    <row r="19" spans="1:5" s="26" customFormat="1" ht="16.5" customHeight="1" x14ac:dyDescent="0.75">
      <c r="A19" s="66" t="s">
        <v>91</v>
      </c>
      <c r="D19" s="34">
        <v>-3</v>
      </c>
      <c r="E19" s="34">
        <v>-3</v>
      </c>
    </row>
    <row r="20" spans="1:5" s="26" customFormat="1" ht="16.5" customHeight="1" x14ac:dyDescent="0.75">
      <c r="A20" s="66" t="s">
        <v>78</v>
      </c>
      <c r="B20" s="26">
        <v>5</v>
      </c>
      <c r="C20" s="26">
        <v>3</v>
      </c>
      <c r="D20" s="26">
        <v>-2</v>
      </c>
      <c r="E20" s="26">
        <v>-2</v>
      </c>
    </row>
    <row r="21" spans="1:5" s="26" customFormat="1" ht="16" x14ac:dyDescent="0.75">
      <c r="A21" s="66"/>
      <c r="B21" s="34"/>
    </row>
    <row r="22" spans="1:5" s="26" customFormat="1" x14ac:dyDescent="0.75">
      <c r="A22"/>
      <c r="B22"/>
      <c r="C22"/>
      <c r="D22"/>
      <c r="E22"/>
    </row>
  </sheetData>
  <mergeCells count="4">
    <mergeCell ref="B1:E1"/>
    <mergeCell ref="B2:E2"/>
    <mergeCell ref="B3:C3"/>
    <mergeCell ref="D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J13" sqref="J13"/>
    </sheetView>
  </sheetViews>
  <sheetFormatPr baseColWidth="10" defaultRowHeight="14.75" x14ac:dyDescent="0.75"/>
  <cols>
    <col min="3" max="3" width="15.86328125" customWidth="1"/>
  </cols>
  <sheetData>
    <row r="1" spans="1:4" x14ac:dyDescent="0.75">
      <c r="B1" t="s">
        <v>3</v>
      </c>
      <c r="C1" t="s">
        <v>4</v>
      </c>
      <c r="D1" t="s">
        <v>0</v>
      </c>
    </row>
    <row r="2" spans="1:4" x14ac:dyDescent="0.75">
      <c r="A2" t="s">
        <v>1</v>
      </c>
      <c r="B2">
        <v>206</v>
      </c>
      <c r="C2">
        <v>26</v>
      </c>
      <c r="D2">
        <v>58</v>
      </c>
    </row>
    <row r="3" spans="1:4" x14ac:dyDescent="0.75">
      <c r="A3" t="s">
        <v>2</v>
      </c>
      <c r="B3">
        <v>43</v>
      </c>
      <c r="C3">
        <v>31</v>
      </c>
      <c r="D3">
        <v>20</v>
      </c>
    </row>
    <row r="15" spans="1:4" x14ac:dyDescent="0.75">
      <c r="B15" t="s">
        <v>3</v>
      </c>
      <c r="C15" t="s">
        <v>5</v>
      </c>
      <c r="D15" t="s">
        <v>0</v>
      </c>
    </row>
    <row r="16" spans="1:4" x14ac:dyDescent="0.75">
      <c r="A16" t="s">
        <v>1</v>
      </c>
      <c r="B16">
        <v>241</v>
      </c>
      <c r="C16">
        <v>25</v>
      </c>
      <c r="D16">
        <v>23</v>
      </c>
    </row>
    <row r="17" spans="1:4" x14ac:dyDescent="0.75">
      <c r="A17" t="s">
        <v>2</v>
      </c>
      <c r="B17">
        <v>54</v>
      </c>
      <c r="C17">
        <v>75</v>
      </c>
      <c r="D17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COG table %</vt:lpstr>
      <vt:lpstr>COG pie</vt:lpstr>
      <vt:lpstr> KEGG MeJA vs C</vt:lpstr>
      <vt:lpstr>KEGG Pc vs C</vt:lpstr>
      <vt:lpstr>KEGG MeJA +Pc vs C</vt:lpstr>
      <vt:lpstr>Venn Diagram 2x2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Eva</cp:lastModifiedBy>
  <dcterms:created xsi:type="dcterms:W3CDTF">2023-03-03T06:49:40Z</dcterms:created>
  <dcterms:modified xsi:type="dcterms:W3CDTF">2025-08-01T20:26:17Z</dcterms:modified>
</cp:coreProperties>
</file>